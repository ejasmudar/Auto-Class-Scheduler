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4.xml" ContentType="application/vnd.ms-office.activeX+xml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y Docs\opl\timetabling\"/>
    </mc:Choice>
  </mc:AlternateContent>
  <bookViews>
    <workbookView xWindow="0" yWindow="0" windowWidth="20490" windowHeight="7155"/>
  </bookViews>
  <sheets>
    <sheet name="Variables" sheetId="1" r:id="rId1"/>
    <sheet name="OutPut1" sheetId="4" r:id="rId2"/>
    <sheet name="TimeTable" sheetId="5" r:id="rId3"/>
    <sheet name="Subjects" sheetId="6" r:id="rId4"/>
    <sheet name="Professors" sheetId="7" r:id="rId5"/>
  </sheets>
  <definedNames>
    <definedName name="_xlnm._FilterDatabase" localSheetId="1" hidden="1">OutPut1!$A$1:$D$11</definedName>
    <definedName name="_xlnm._FilterDatabase" localSheetId="3" hidden="1">Subjects!#REF!</definedName>
    <definedName name="Clear_Overlap_Matrix">OFFSET(Origin,1,1,Number_of_Subjects,Number_of_Subjects)</definedName>
    <definedName name="Clear_ProfID_Main">OFFSET(Origin,-1,1,1,Number_of_Subjects)</definedName>
    <definedName name="Clear_ProfID_Professors">OFFSET(Professors!$E$2,0,0,COUNTA(Professors!$D:$D)-1,1)</definedName>
    <definedName name="Clear_TimeTable_Overlaps">OFFSET(TimeTable_Origin2,1,1,6,7)</definedName>
    <definedName name="DaysNo">Variables!$C$2</definedName>
    <definedName name="ListOfProfs">OFFSET(Professors!$D$2,0,0,COUNTA(Professors!$D:$D)-1,1)</definedName>
    <definedName name="Number_of_Subjects">Subjects!$F$2</definedName>
    <definedName name="OP_Start">OutPut1!$A$2</definedName>
    <definedName name="Origin">Variables!$A$7</definedName>
    <definedName name="Overlap_Start">Variables!$B$8</definedName>
    <definedName name="OverlapMatrix">OFFSET(Overlap_Start,0,0,SubjectNo,SubjectNo)</definedName>
    <definedName name="Prof_Start">Variables!$B$6</definedName>
    <definedName name="ProfNo">Variables!$E$2</definedName>
    <definedName name="ProfSub">OFFSET(Prof_Start,0,0,1,SubjectNo)</definedName>
    <definedName name="RoomCap">OFFSET(RoomCap_Start,0,0,1,RoomNo)</definedName>
    <definedName name="RoomCap_Start">Variables!$B$4</definedName>
    <definedName name="RoomNo">Variables!$B$2</definedName>
    <definedName name="SubCap_Start">Variables!$B$5</definedName>
    <definedName name="SubDayTime">OFFSET(OP_Start,0,0,SubjectNo*2,4)</definedName>
    <definedName name="SubDayTimeFull">OFFSET(OP_Start,0,0,100*2,4)</definedName>
    <definedName name="SubID_Start">Variables!$B$7</definedName>
    <definedName name="SubjectCap">OFFSET(SubCap_Start,0,0,1,SubjectNo)</definedName>
    <definedName name="SubjectNo">Variables!$A$2</definedName>
    <definedName name="TimesNo">Variables!$D$2</definedName>
    <definedName name="TimeTable">OFFSET(TT_Start,0,0,TimesNo,DaysNo)</definedName>
    <definedName name="TimeTable_Origin1">TimeTable!$A$1</definedName>
    <definedName name="TimeTable_Origin2">TimeTable!$A$9</definedName>
    <definedName name="TimeTableFull">OFFSET(TT_Start,0,0,7,7)</definedName>
    <definedName name="Total_Profs">Professors!$H$1</definedName>
    <definedName name="TT_Start">TimeTable!$B$2</definedName>
  </definedNames>
  <calcPr calcId="152511"/>
</workbook>
</file>

<file path=xl/calcChain.xml><?xml version="1.0" encoding="utf-8"?>
<calcChain xmlns="http://schemas.openxmlformats.org/spreadsheetml/2006/main">
  <c r="E2" i="1" l="1"/>
  <c r="I16" i="5" l="1"/>
  <c r="I11" i="5" l="1"/>
  <c r="I12" i="5"/>
  <c r="I13" i="5"/>
  <c r="I14" i="5"/>
  <c r="I15" i="5"/>
  <c r="I10" i="5"/>
  <c r="C16" i="5"/>
  <c r="D16" i="5"/>
  <c r="E16" i="5"/>
  <c r="F16" i="5"/>
  <c r="G16" i="5"/>
  <c r="H16" i="5"/>
  <c r="B16" i="5"/>
  <c r="H2" i="7" l="1"/>
  <c r="H1" i="7" l="1"/>
  <c r="F2" i="6" l="1"/>
  <c r="D90" i="7" l="1"/>
  <c r="D89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2" i="7"/>
  <c r="E12" i="4" l="1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 l="1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3" i="4" l="1"/>
  <c r="E4" i="4"/>
  <c r="E5" i="4"/>
  <c r="E6" i="4"/>
  <c r="E7" i="4"/>
  <c r="E8" i="4"/>
  <c r="E9" i="4"/>
  <c r="E10" i="4"/>
  <c r="E11" i="4"/>
  <c r="E2" i="4"/>
  <c r="F3" i="4" l="1"/>
  <c r="F4" i="4" s="1"/>
  <c r="F5" i="4" s="1"/>
  <c r="F6" i="4" s="1"/>
  <c r="F7" i="4" s="1"/>
  <c r="F8" i="4" s="1"/>
  <c r="F9" i="4" s="1"/>
  <c r="F10" i="4" s="1"/>
  <c r="F11" i="4" s="1"/>
  <c r="F12" i="4" l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</calcChain>
</file>

<file path=xl/comments1.xml><?xml version="1.0" encoding="utf-8"?>
<comments xmlns="http://schemas.openxmlformats.org/spreadsheetml/2006/main">
  <authors>
    <author>Ejas Mudar</author>
  </authors>
  <commentList>
    <comment ref="P3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A104</t>
        </r>
      </text>
    </comment>
    <comment ref="Q3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A105</t>
        </r>
      </text>
    </comment>
    <comment ref="R3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L1</t>
        </r>
      </text>
    </comment>
    <comment ref="S3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L2</t>
        </r>
      </text>
    </comment>
    <comment ref="T3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L4</t>
        </r>
      </text>
    </comment>
    <comment ref="U3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L51</t>
        </r>
      </text>
    </comment>
    <comment ref="V3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L52</t>
        </r>
      </text>
    </comment>
    <comment ref="W3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L3</t>
        </r>
      </text>
    </comment>
    <comment ref="B4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A104</t>
        </r>
      </text>
    </comment>
    <comment ref="C4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A105</t>
        </r>
      </text>
    </comment>
    <comment ref="D4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L1</t>
        </r>
      </text>
    </comment>
    <comment ref="E4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L2</t>
        </r>
      </text>
    </comment>
    <comment ref="F4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L4</t>
        </r>
      </text>
    </comment>
    <comment ref="G4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L51</t>
        </r>
      </text>
    </comment>
    <comment ref="H4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L52</t>
        </r>
      </text>
    </comment>
    <comment ref="I4" authorId="0" shapeId="0">
      <text>
        <r>
          <rPr>
            <b/>
            <sz val="9"/>
            <color indexed="81"/>
            <rFont val="Tahoma"/>
            <charset val="1"/>
          </rPr>
          <t>Ejas Mudar:</t>
        </r>
        <r>
          <rPr>
            <sz val="9"/>
            <color indexed="81"/>
            <rFont val="Tahoma"/>
            <charset val="1"/>
          </rPr>
          <t xml:space="preserve">
L3</t>
        </r>
      </text>
    </comment>
  </commentList>
</comments>
</file>

<file path=xl/sharedStrings.xml><?xml version="1.0" encoding="utf-8"?>
<sst xmlns="http://schemas.openxmlformats.org/spreadsheetml/2006/main" count="396" uniqueCount="252">
  <si>
    <t>subID</t>
  </si>
  <si>
    <t>SubjectNo</t>
  </si>
  <si>
    <t>RoomNo</t>
  </si>
  <si>
    <t>DayNo</t>
  </si>
  <si>
    <t>TimeNo</t>
  </si>
  <si>
    <t>subjectCap</t>
  </si>
  <si>
    <t>RoomCap</t>
  </si>
  <si>
    <t>ProfNo</t>
  </si>
  <si>
    <t>SUB</t>
  </si>
  <si>
    <t>TIME</t>
  </si>
  <si>
    <t>DAY</t>
  </si>
  <si>
    <t>RoomID</t>
  </si>
  <si>
    <t>Time/Date Combo</t>
  </si>
  <si>
    <t>SLOTS</t>
  </si>
  <si>
    <t>ProfID</t>
  </si>
  <si>
    <t>Monday</t>
  </si>
  <si>
    <t>Tuesday</t>
  </si>
  <si>
    <t>Wednesday</t>
  </si>
  <si>
    <t>Thursday</t>
  </si>
  <si>
    <t>Friday</t>
  </si>
  <si>
    <t>Saturday</t>
  </si>
  <si>
    <t>8.30 AM</t>
  </si>
  <si>
    <t>10.15 AM</t>
  </si>
  <si>
    <t>12.00 AM</t>
  </si>
  <si>
    <t>2.30 PM</t>
  </si>
  <si>
    <t>4.15 PM</t>
  </si>
  <si>
    <t>Sunday</t>
  </si>
  <si>
    <t>6.00 PM</t>
  </si>
  <si>
    <t/>
  </si>
  <si>
    <t>Advanced Analytical Skills in Communication (Section  A)</t>
  </si>
  <si>
    <t>Number of Subjects</t>
  </si>
  <si>
    <t>Advanced Analytical Skills in Communication (Section  B)</t>
  </si>
  <si>
    <t>Business Data Mining (PGDM Only) (Section A)</t>
  </si>
  <si>
    <t>Business Data Mining (PGDM Only) (Section B)</t>
  </si>
  <si>
    <t>Business Dynamics</t>
  </si>
  <si>
    <t>Business Valuation (Section A)</t>
  </si>
  <si>
    <t>Business Valuation (Section B)</t>
  </si>
  <si>
    <t>CEM: IIE (Section A)</t>
  </si>
  <si>
    <t>CEM: IIE (Section B)</t>
  </si>
  <si>
    <t>Constraint Management</t>
  </si>
  <si>
    <t>Consumer Behaviour (Section A)</t>
  </si>
  <si>
    <t>Consumer Behaviour (Section B)</t>
  </si>
  <si>
    <t>Corporate Restructuring</t>
  </si>
  <si>
    <t>Corporate Social Responsibility : Perspectives and Practices(A)</t>
  </si>
  <si>
    <t>Corporate Social Responsibility : Perspectives and Practices(B)</t>
  </si>
  <si>
    <t>Creating Managing and Leading Social Enterprises</t>
  </si>
  <si>
    <t>Decision Support Systems</t>
  </si>
  <si>
    <t>Designing Corporate Citizenship Initiatives</t>
  </si>
  <si>
    <t>E-Commerce (Section A)</t>
  </si>
  <si>
    <t>E-Commerce (Section B)</t>
  </si>
  <si>
    <t>Econometric Methods</t>
  </si>
  <si>
    <t>Fixed Income Markets</t>
  </si>
  <si>
    <t>Green Business Environment : IT Operations and Innovation</t>
  </si>
  <si>
    <t>Infrastructure and Project Finance</t>
  </si>
  <si>
    <t>Investment Analysis &amp; Portfolio Management</t>
  </si>
  <si>
    <t>Leading the Family Business (Post Mid Term)</t>
  </si>
  <si>
    <t>Logistics and Supply Chain Management (Section A)</t>
  </si>
  <si>
    <t>Logistics and Supply Chain Mgmt (Section B)</t>
  </si>
  <si>
    <t>Management Information Systems (PGDM Only)</t>
  </si>
  <si>
    <t>Management of Change</t>
  </si>
  <si>
    <t>Managing Strategy Implementation and Business Transformation</t>
  </si>
  <si>
    <t>Marketing Data Analytics</t>
  </si>
  <si>
    <t>MLREIB (Section A)</t>
  </si>
  <si>
    <t>MLREIB (Section B)</t>
  </si>
  <si>
    <t>Options Futures &amp; Derivatives</t>
  </si>
  <si>
    <t>OR in Marketing</t>
  </si>
  <si>
    <t>Production and Inventory Control</t>
  </si>
  <si>
    <t>Project Management</t>
  </si>
  <si>
    <t>Sales and Distribution Management (Section A)</t>
  </si>
  <si>
    <t>Sales and Distribution Management (Section B)</t>
  </si>
  <si>
    <t>Selected Aspects of Macroeconomics</t>
  </si>
  <si>
    <t>Social Development and Social Policy</t>
  </si>
  <si>
    <t>Sports Entertainment and Media Marketing</t>
  </si>
  <si>
    <t>Strategic Brand Management</t>
  </si>
  <si>
    <t>Strategic Business Intelligence (SBI) (PGDM Only) (A)</t>
  </si>
  <si>
    <t>Strategic Business Intelligence (SBI) (PGDM Only) (B)</t>
  </si>
  <si>
    <t>Strategic Human Resource Management in Services</t>
  </si>
  <si>
    <t>Strategic Leadership</t>
  </si>
  <si>
    <t>Strategies For The New Media Industries</t>
  </si>
  <si>
    <t>The Economics of Human Resources</t>
  </si>
  <si>
    <t>WTO Law and Policy</t>
  </si>
  <si>
    <t>Abhishek Goel</t>
  </si>
  <si>
    <t>Bharatendu Nath Srivastava</t>
  </si>
  <si>
    <t>Leena Chatterjee</t>
  </si>
  <si>
    <t>Rajiv Kumar</t>
  </si>
  <si>
    <t>Chetan Joshi</t>
  </si>
  <si>
    <t>Devi Vijay</t>
  </si>
  <si>
    <t>Nimruji Prasad Jammulamadaka</t>
  </si>
  <si>
    <t>Vidyanand Jha</t>
  </si>
  <si>
    <t>Apoorva Bharadwaj</t>
  </si>
  <si>
    <t>C Panduranga Bhatta</t>
  </si>
  <si>
    <t>Nisigandha Bhuyan</t>
  </si>
  <si>
    <t>Pragyan Rath</t>
  </si>
  <si>
    <t>Shantanu Dey</t>
  </si>
  <si>
    <t>Anindya Sen</t>
  </si>
  <si>
    <t>Anup Kumar Sinha</t>
  </si>
  <si>
    <t>Arijit Sen</t>
  </si>
  <si>
    <t>Manisha Chakrabarty</t>
  </si>
  <si>
    <t>Mritiunjoy Mohanty</t>
  </si>
  <si>
    <t>Partha Ray</t>
  </si>
  <si>
    <t>Parthapratim Pal</t>
  </si>
  <si>
    <t>Runa Sarkar</t>
  </si>
  <si>
    <t>Soumyen Sikdar</t>
  </si>
  <si>
    <t>Sudip Chaudhuri</t>
  </si>
  <si>
    <t>Arpita Ghosh</t>
  </si>
  <si>
    <t>Ashok Banerjee</t>
  </si>
  <si>
    <t>Binay Bhushan Chakrabarti</t>
  </si>
  <si>
    <t>Dipankar Mitra</t>
  </si>
  <si>
    <t>Manju Jaiswall</t>
  </si>
  <si>
    <t>Nivedita Sinha</t>
  </si>
  <si>
    <t>Purusottam Sen</t>
  </si>
  <si>
    <t>Rama Seth</t>
  </si>
  <si>
    <t>Amit Dhiman</t>
  </si>
  <si>
    <t>Debashish Bhattacherjee</t>
  </si>
  <si>
    <t>Prodip Kumar Sett</t>
  </si>
  <si>
    <t>Pulak Das</t>
  </si>
  <si>
    <t>Ambuj Mahanti</t>
  </si>
  <si>
    <t>Anup K Sen</t>
  </si>
  <si>
    <t>Asim K Pal</t>
  </si>
  <si>
    <t>Debashis Saha</t>
  </si>
  <si>
    <t>Indranil Bose</t>
  </si>
  <si>
    <t>Parthasarathi Dasgupta</t>
  </si>
  <si>
    <t>Priya Seetharaman</t>
  </si>
  <si>
    <t>Rahul Roy</t>
  </si>
  <si>
    <t>Sanjiv Damodar Vaidya</t>
  </si>
  <si>
    <t>Somprakash Bandyopadhyay</t>
  </si>
  <si>
    <t>Subir Bhattacharya</t>
  </si>
  <si>
    <t>Uttam K Sarkar</t>
  </si>
  <si>
    <t>Ashish Kumar Banerjee</t>
  </si>
  <si>
    <t>Janakiraman Moorthy</t>
  </si>
  <si>
    <t>Koushiki Choudhury</t>
  </si>
  <si>
    <t>Krishanu Rakshit</t>
  </si>
  <si>
    <t>Prafulla Y. Agnihotri</t>
  </si>
  <si>
    <t>Prashant Mishra</t>
  </si>
  <si>
    <t>Ramanuj Majumdar</t>
  </si>
  <si>
    <t>Ramendra Singh</t>
  </si>
  <si>
    <t>Ritu Mehta</t>
  </si>
  <si>
    <t>Rohit Varman</t>
  </si>
  <si>
    <t>Suren Sista</t>
  </si>
  <si>
    <t>Arnab Bisi</t>
  </si>
  <si>
    <t>Ashis K Chatterjee</t>
  </si>
  <si>
    <t>Balram Avittathur</t>
  </si>
  <si>
    <t>Bodhibrata Nag</t>
  </si>
  <si>
    <t>Dileep Satappa More</t>
  </si>
  <si>
    <t>Megha Sharma</t>
  </si>
  <si>
    <t>Partha Priya Datta</t>
  </si>
  <si>
    <t>Peeyush Mehta</t>
  </si>
  <si>
    <t>Preetam Basu</t>
  </si>
  <si>
    <t>Rahul Mukerjee</t>
  </si>
  <si>
    <t>Sahadeb Sarkar</t>
  </si>
  <si>
    <t>Saibal Chattopadhyay</t>
  </si>
  <si>
    <t>Sanjeet Singh</t>
  </si>
  <si>
    <t>Subrata Mitra</t>
  </si>
  <si>
    <t>Sumanta Basu</t>
  </si>
  <si>
    <t>Annapurna Shaw</t>
  </si>
  <si>
    <t>Bhaskar Chakrabarti</t>
  </si>
  <si>
    <t>Biju Paul Abraham</t>
  </si>
  <si>
    <t>Kalyan Sankar Mandal</t>
  </si>
  <si>
    <t>Manish Kumar Thakur</t>
  </si>
  <si>
    <t>R Rajesh Babu</t>
  </si>
  <si>
    <t xml:space="preserve">Rajesh Bhattacharya </t>
  </si>
  <si>
    <t>V K Unni</t>
  </si>
  <si>
    <t>Anirvan Pant</t>
  </si>
  <si>
    <t>Biswatosh Saha</t>
  </si>
  <si>
    <t>Ranjan Das</t>
  </si>
  <si>
    <t>Shekhar Chaudhuri</t>
  </si>
  <si>
    <t>Sougata Ray</t>
  </si>
  <si>
    <t>Sushil Khanna</t>
  </si>
  <si>
    <t>Behavioural Sciences</t>
  </si>
  <si>
    <t>Business Ethics and Communication Group</t>
  </si>
  <si>
    <t>Economics</t>
  </si>
  <si>
    <t>Finance and Control</t>
  </si>
  <si>
    <t>Human Resource Management</t>
  </si>
  <si>
    <t>Management Information Systems</t>
  </si>
  <si>
    <t>Marketing</t>
  </si>
  <si>
    <t>Operations Management</t>
  </si>
  <si>
    <t>Public Policy and Management</t>
  </si>
  <si>
    <t>Strategic Management</t>
  </si>
  <si>
    <t>Group</t>
  </si>
  <si>
    <t>Professor</t>
  </si>
  <si>
    <t>Name Displayed</t>
  </si>
  <si>
    <t>Group Code</t>
  </si>
  <si>
    <t>BS</t>
  </si>
  <si>
    <t>Ethics</t>
  </si>
  <si>
    <t>Finance</t>
  </si>
  <si>
    <t>HRM</t>
  </si>
  <si>
    <t>MIS</t>
  </si>
  <si>
    <t>Operations</t>
  </si>
  <si>
    <t>Public Policy</t>
  </si>
  <si>
    <t>Strategy</t>
  </si>
  <si>
    <t>Subject</t>
  </si>
  <si>
    <t>Ethics,   Pragyan Rath</t>
  </si>
  <si>
    <t>BS,   Vidyanand Jha</t>
  </si>
  <si>
    <t>BS,   Nimruji Prasad Jammulamadaka</t>
  </si>
  <si>
    <t>BS,   Devi Vijay</t>
  </si>
  <si>
    <t>Economics,   Soumyen Sikdar</t>
  </si>
  <si>
    <t>Economics,   Manisha Chakrabarty</t>
  </si>
  <si>
    <t>Eco/Strategy</t>
  </si>
  <si>
    <t>HRM,   Debashish Bhattacherjee</t>
  </si>
  <si>
    <t>Finance,   Binay Bhushan Chakrabarti</t>
  </si>
  <si>
    <t>Guest</t>
  </si>
  <si>
    <t>Kaustav Sen</t>
  </si>
  <si>
    <t>Guest,   Kaustav Sen</t>
  </si>
  <si>
    <t>Finance,   Nivedita Sinha</t>
  </si>
  <si>
    <t>Finance,   Ashok Banerjee</t>
  </si>
  <si>
    <t>Finance,   Purusottam Sen</t>
  </si>
  <si>
    <t>HRM,   Amit Dhiman</t>
  </si>
  <si>
    <t>Marketing,   Ramendra Singh</t>
  </si>
  <si>
    <t>Marketing,   Krishanu Rakshit</t>
  </si>
  <si>
    <t>Marketing,   Ramanuj Majumdar</t>
  </si>
  <si>
    <t>Marketing,   Prashant Mishra</t>
  </si>
  <si>
    <t>Ethics,   C Panduranga Bhatta</t>
  </si>
  <si>
    <t>Ethics,   Nisigandha Bhuyan</t>
  </si>
  <si>
    <t>MIS,   Sanjiv Damodar Vaidya</t>
  </si>
  <si>
    <t>MIS,   Parthasarathi Dasgupta</t>
  </si>
  <si>
    <t>MIS,   Uttam K Sarkar</t>
  </si>
  <si>
    <t>MIS,   Asim K Pal</t>
  </si>
  <si>
    <t>MIS,   Rahul Roy</t>
  </si>
  <si>
    <t>MIS,   Indranil Bose</t>
  </si>
  <si>
    <t>MIS,   Ambuj Mahanti</t>
  </si>
  <si>
    <t>Operations,   Megha Sharma</t>
  </si>
  <si>
    <t>Operations,   Ashis K Chatterjee</t>
  </si>
  <si>
    <t>Operations,   Subrata Mitra</t>
  </si>
  <si>
    <t>Operations,   Balram Avittathur</t>
  </si>
  <si>
    <t>Operations,   Dileep Satappa More</t>
  </si>
  <si>
    <t>Public Policy,   Kalyan Sankar Mandal</t>
  </si>
  <si>
    <t>Public Policy,   R Rajesh Babu</t>
  </si>
  <si>
    <t>HRM,   Prodip Kumar Sett</t>
  </si>
  <si>
    <t>Anjan Raichaudhuri</t>
  </si>
  <si>
    <t>Guest,   Anjan Raichaudhuri</t>
  </si>
  <si>
    <t>Eco/Strategy,   Sushil Khanna</t>
  </si>
  <si>
    <t>Strategy,   Anirvan Pant</t>
  </si>
  <si>
    <t>Public Policy,   V K Unni</t>
  </si>
  <si>
    <t>Profs Registered</t>
  </si>
  <si>
    <t>Profs taking courses</t>
  </si>
  <si>
    <t xml:space="preserve"> </t>
  </si>
  <si>
    <t>Overlaps</t>
  </si>
  <si>
    <t>Total</t>
  </si>
  <si>
    <t xml:space="preserve"> 12 25 29</t>
  </si>
  <si>
    <t xml:space="preserve"> 15 21</t>
  </si>
  <si>
    <t xml:space="preserve"> 6 8</t>
  </si>
  <si>
    <t xml:space="preserve"> 4 17 30</t>
  </si>
  <si>
    <t xml:space="preserve"> 16 22 24</t>
  </si>
  <si>
    <t xml:space="preserve"> 10 11 13</t>
  </si>
  <si>
    <t xml:space="preserve"> 20 28</t>
  </si>
  <si>
    <t xml:space="preserve"> 5 9 14</t>
  </si>
  <si>
    <t xml:space="preserve"> 2 7 18</t>
  </si>
  <si>
    <t xml:space="preserve"> 1 27</t>
  </si>
  <si>
    <t xml:space="preserve"> 3 23</t>
  </si>
  <si>
    <t xml:space="preserve"> 19 26</t>
  </si>
  <si>
    <t xml:space="preserve"> 19</t>
  </si>
  <si>
    <t xml:space="preserve">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</si>
</sst>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0409]h\.mm\.ss\ AM/P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</fills>
  <borders count="5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1" fillId="0" borderId="0" xfId="0" applyFont="1"/>
    <xf numFmtId="164" fontId="0" fillId="0" borderId="0" xfId="0" applyNumberFormat="1"/>
    <xf numFmtId="49" fontId="0" fillId="0" borderId="0" xfId="0" applyNumberFormat="1"/>
    <xf numFmtId="0" fontId="0" fillId="0" borderId="1" xfId="0" applyFont="1" applyFill="1" applyBorder="1"/>
    <xf numFmtId="0" fontId="0" fillId="0" borderId="0" xfId="0" applyFont="1" applyFill="1" applyBorder="1"/>
    <xf numFmtId="0" fontId="0" fillId="0" borderId="0" xfId="0" applyAlignment="1">
      <alignment vertical="center" wrapText="1"/>
    </xf>
    <xf numFmtId="0" fontId="0" fillId="0" borderId="2" xfId="0" applyBorder="1"/>
    <xf numFmtId="0" fontId="0" fillId="0" borderId="2" xfId="0" applyBorder="1" applyAlignment="1">
      <alignment vertical="center" wrapText="1"/>
    </xf>
    <xf numFmtId="0" fontId="4" fillId="3" borderId="2" xfId="0" applyFont="1" applyFill="1" applyBorder="1"/>
    <xf numFmtId="0" fontId="4" fillId="3" borderId="2" xfId="0" applyFont="1" applyFill="1" applyBorder="1" applyAlignment="1">
      <alignment vertical="center"/>
    </xf>
    <xf numFmtId="0" fontId="0" fillId="0" borderId="2" xfId="0" applyFill="1" applyBorder="1"/>
    <xf numFmtId="49" fontId="0" fillId="0" borderId="2" xfId="0" applyNumberFormat="1" applyBorder="1"/>
    <xf numFmtId="164" fontId="1" fillId="0" borderId="0" xfId="0" applyNumberFormat="1" applyFont="1"/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</cellXfs>
  <cellStyles count="1">
    <cellStyle name="Normal" xfId="0" builtinId="0"/>
  </cellStyles>
  <dxfs count="19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285750</xdr:colOff>
          <xdr:row>0</xdr:row>
          <xdr:rowOff>38100</xdr:rowOff>
        </xdr:from>
        <xdr:to>
          <xdr:col>28</xdr:col>
          <xdr:colOff>352425</xdr:colOff>
          <xdr:row>1</xdr:row>
          <xdr:rowOff>47625</xdr:rowOff>
        </xdr:to>
        <xdr:sp macro="" textlink="">
          <xdr:nvSpPr>
            <xdr:cNvPr id="1041" name="AutoHighligh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285750</xdr:colOff>
          <xdr:row>1</xdr:row>
          <xdr:rowOff>28575</xdr:rowOff>
        </xdr:from>
        <xdr:to>
          <xdr:col>37</xdr:col>
          <xdr:colOff>9525</xdr:colOff>
          <xdr:row>2</xdr:row>
          <xdr:rowOff>28575</xdr:rowOff>
        </xdr:to>
        <xdr:sp macro="" textlink="">
          <xdr:nvSpPr>
            <xdr:cNvPr id="1042" name="PopulateOverLaps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295275</xdr:colOff>
          <xdr:row>2</xdr:row>
          <xdr:rowOff>19050</xdr:rowOff>
        </xdr:from>
        <xdr:to>
          <xdr:col>30</xdr:col>
          <xdr:colOff>123825</xdr:colOff>
          <xdr:row>2</xdr:row>
          <xdr:rowOff>314325</xdr:rowOff>
        </xdr:to>
        <xdr:sp macro="" textlink="">
          <xdr:nvSpPr>
            <xdr:cNvPr id="1044" name="PopulateProfs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9</xdr:row>
          <xdr:rowOff>85725</xdr:rowOff>
        </xdr:from>
        <xdr:to>
          <xdr:col>12</xdr:col>
          <xdr:colOff>238125</xdr:colOff>
          <xdr:row>10</xdr:row>
          <xdr:rowOff>171450</xdr:rowOff>
        </xdr:to>
        <xdr:sp macro="" textlink="">
          <xdr:nvSpPr>
            <xdr:cNvPr id="3073" name="PopulateOverlapsInTemp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S77"/>
  <sheetViews>
    <sheetView tabSelected="1" zoomScale="70" zoomScaleNormal="70" workbookViewId="0">
      <selection activeCell="E2" sqref="E2"/>
    </sheetView>
  </sheetViews>
  <sheetFormatPr defaultColWidth="6" defaultRowHeight="28.5" customHeight="1" x14ac:dyDescent="0.25"/>
  <cols>
    <col min="1" max="1" width="10.42578125" bestFit="1" customWidth="1"/>
  </cols>
  <sheetData>
    <row r="1" spans="1:71" ht="28.5" customHeight="1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7</v>
      </c>
      <c r="F1" s="1"/>
      <c r="G1" s="1"/>
      <c r="H1" s="1"/>
      <c r="I1" s="1"/>
      <c r="J1" s="1"/>
      <c r="K1" s="1"/>
      <c r="L1" s="1"/>
      <c r="M1" s="1"/>
    </row>
    <row r="2" spans="1:71" ht="28.5" customHeight="1" x14ac:dyDescent="0.25">
      <c r="A2">
        <v>30</v>
      </c>
      <c r="B2">
        <v>8</v>
      </c>
      <c r="C2">
        <v>5</v>
      </c>
      <c r="D2">
        <v>5</v>
      </c>
      <c r="E2">
        <f ca="1">MAX(OFFSET(Prof_Start,0,0,1,SubjectNo))</f>
        <v>21</v>
      </c>
    </row>
    <row r="3" spans="1:71" ht="28.5" customHeight="1" x14ac:dyDescent="0.25">
      <c r="P3">
        <v>21</v>
      </c>
      <c r="Q3">
        <v>31</v>
      </c>
      <c r="R3">
        <v>81</v>
      </c>
      <c r="S3">
        <v>121</v>
      </c>
      <c r="T3">
        <v>151</v>
      </c>
      <c r="U3">
        <v>81</v>
      </c>
      <c r="V3">
        <v>81</v>
      </c>
      <c r="W3">
        <v>181</v>
      </c>
      <c r="AL3" t="s">
        <v>235</v>
      </c>
      <c r="AO3" t="s">
        <v>235</v>
      </c>
    </row>
    <row r="4" spans="1:71" ht="28.5" customHeight="1" x14ac:dyDescent="0.25">
      <c r="A4" s="1" t="s">
        <v>6</v>
      </c>
      <c r="B4">
        <v>100</v>
      </c>
      <c r="C4">
        <v>100</v>
      </c>
      <c r="D4">
        <v>100</v>
      </c>
      <c r="E4">
        <v>100</v>
      </c>
      <c r="F4">
        <v>100</v>
      </c>
      <c r="G4">
        <v>100</v>
      </c>
      <c r="H4">
        <v>100</v>
      </c>
      <c r="I4">
        <v>100</v>
      </c>
    </row>
    <row r="5" spans="1:71" ht="28.5" customHeight="1" x14ac:dyDescent="0.25">
      <c r="A5" s="1" t="s">
        <v>5</v>
      </c>
      <c r="B5">
        <v>91</v>
      </c>
      <c r="C5">
        <v>41</v>
      </c>
      <c r="D5">
        <v>41</v>
      </c>
      <c r="E5">
        <v>81</v>
      </c>
      <c r="F5">
        <v>61</v>
      </c>
      <c r="G5">
        <v>31</v>
      </c>
      <c r="H5">
        <v>41</v>
      </c>
      <c r="I5">
        <v>91</v>
      </c>
      <c r="J5">
        <v>41</v>
      </c>
      <c r="K5">
        <v>41</v>
      </c>
      <c r="L5">
        <v>81</v>
      </c>
      <c r="M5">
        <v>61</v>
      </c>
      <c r="N5">
        <v>31</v>
      </c>
      <c r="O5">
        <v>41</v>
      </c>
      <c r="P5">
        <v>91</v>
      </c>
      <c r="Q5">
        <v>41</v>
      </c>
      <c r="R5">
        <v>41</v>
      </c>
      <c r="S5">
        <v>81</v>
      </c>
      <c r="T5">
        <v>61</v>
      </c>
      <c r="U5">
        <v>31</v>
      </c>
      <c r="V5">
        <v>81</v>
      </c>
      <c r="W5">
        <v>61</v>
      </c>
      <c r="X5">
        <v>31</v>
      </c>
      <c r="Y5">
        <v>41</v>
      </c>
      <c r="Z5">
        <v>91</v>
      </c>
      <c r="AA5">
        <v>41</v>
      </c>
      <c r="AB5">
        <v>41</v>
      </c>
      <c r="AC5">
        <v>81</v>
      </c>
      <c r="AD5">
        <v>61</v>
      </c>
      <c r="AE5">
        <v>31</v>
      </c>
      <c r="AF5">
        <v>41</v>
      </c>
      <c r="AG5">
        <v>91</v>
      </c>
      <c r="AH5">
        <v>41</v>
      </c>
      <c r="AI5">
        <v>41</v>
      </c>
      <c r="AJ5">
        <v>81</v>
      </c>
      <c r="AK5">
        <v>41</v>
      </c>
      <c r="AL5">
        <v>81</v>
      </c>
      <c r="AM5">
        <v>61</v>
      </c>
      <c r="AN5">
        <v>31</v>
      </c>
      <c r="AO5">
        <v>41</v>
      </c>
      <c r="AP5">
        <v>91</v>
      </c>
      <c r="AQ5">
        <v>41</v>
      </c>
      <c r="AR5">
        <v>41</v>
      </c>
      <c r="AS5">
        <v>81</v>
      </c>
      <c r="AT5">
        <v>41</v>
      </c>
      <c r="AU5">
        <v>81</v>
      </c>
      <c r="AV5">
        <v>61</v>
      </c>
      <c r="AW5">
        <v>31</v>
      </c>
      <c r="AX5">
        <v>41</v>
      </c>
      <c r="AY5">
        <v>91</v>
      </c>
      <c r="AZ5">
        <v>41</v>
      </c>
      <c r="BA5">
        <v>41</v>
      </c>
      <c r="BB5">
        <v>81</v>
      </c>
    </row>
    <row r="6" spans="1:71" ht="28.5" customHeight="1" x14ac:dyDescent="0.25">
      <c r="A6" s="1" t="s">
        <v>14</v>
      </c>
      <c r="B6">
        <v>1</v>
      </c>
      <c r="C6">
        <v>1</v>
      </c>
      <c r="D6">
        <v>2</v>
      </c>
      <c r="E6">
        <v>2</v>
      </c>
      <c r="F6">
        <v>3</v>
      </c>
      <c r="G6">
        <v>4</v>
      </c>
      <c r="H6">
        <v>4</v>
      </c>
      <c r="I6">
        <v>5</v>
      </c>
      <c r="J6">
        <v>5</v>
      </c>
      <c r="K6">
        <v>6</v>
      </c>
      <c r="L6">
        <v>7</v>
      </c>
      <c r="M6">
        <v>7</v>
      </c>
      <c r="N6">
        <v>8</v>
      </c>
      <c r="O6">
        <v>9</v>
      </c>
      <c r="P6">
        <v>9</v>
      </c>
      <c r="Q6">
        <v>10</v>
      </c>
      <c r="R6">
        <v>11</v>
      </c>
      <c r="S6">
        <v>12</v>
      </c>
      <c r="T6">
        <v>13</v>
      </c>
      <c r="U6">
        <v>13</v>
      </c>
      <c r="V6">
        <v>14</v>
      </c>
      <c r="W6">
        <v>15</v>
      </c>
      <c r="X6">
        <v>16</v>
      </c>
      <c r="Y6">
        <v>17</v>
      </c>
      <c r="Z6">
        <v>18</v>
      </c>
      <c r="AA6">
        <v>19</v>
      </c>
      <c r="AB6">
        <v>20</v>
      </c>
      <c r="AC6">
        <v>20</v>
      </c>
      <c r="AD6">
        <v>11</v>
      </c>
      <c r="AE6">
        <v>21</v>
      </c>
      <c r="AF6">
        <v>22</v>
      </c>
      <c r="AG6">
        <v>23</v>
      </c>
      <c r="AH6">
        <v>24</v>
      </c>
      <c r="AI6">
        <v>24</v>
      </c>
      <c r="AJ6">
        <v>15</v>
      </c>
      <c r="AK6">
        <v>25</v>
      </c>
      <c r="AL6">
        <v>26</v>
      </c>
      <c r="AM6">
        <v>27</v>
      </c>
      <c r="AN6">
        <v>28</v>
      </c>
      <c r="AO6">
        <v>28</v>
      </c>
      <c r="AP6">
        <v>29</v>
      </c>
      <c r="AQ6">
        <v>30</v>
      </c>
      <c r="AR6">
        <v>31</v>
      </c>
      <c r="AS6">
        <v>32</v>
      </c>
      <c r="AT6">
        <v>33</v>
      </c>
      <c r="AU6">
        <v>33</v>
      </c>
      <c r="AV6">
        <v>34</v>
      </c>
      <c r="AW6">
        <v>35</v>
      </c>
      <c r="AX6">
        <v>36</v>
      </c>
      <c r="AY6">
        <v>37</v>
      </c>
      <c r="AZ6">
        <v>38</v>
      </c>
    </row>
    <row r="7" spans="1:71" ht="28.5" customHeight="1" x14ac:dyDescent="0.25">
      <c r="A7" s="1" t="s">
        <v>0</v>
      </c>
      <c r="B7" s="1">
        <v>1</v>
      </c>
      <c r="C7" s="1">
        <v>2</v>
      </c>
      <c r="D7" s="1">
        <v>3</v>
      </c>
      <c r="E7" s="1">
        <v>4</v>
      </c>
      <c r="F7" s="1">
        <v>5</v>
      </c>
      <c r="G7" s="1">
        <v>6</v>
      </c>
      <c r="H7" s="1">
        <v>7</v>
      </c>
      <c r="I7" s="1">
        <v>8</v>
      </c>
      <c r="J7" s="1">
        <v>9</v>
      </c>
      <c r="K7" s="1">
        <v>10</v>
      </c>
      <c r="L7" s="1">
        <v>11</v>
      </c>
      <c r="M7" s="1">
        <v>12</v>
      </c>
      <c r="N7" s="1">
        <v>13</v>
      </c>
      <c r="O7" s="1">
        <v>14</v>
      </c>
      <c r="P7" s="1">
        <v>15</v>
      </c>
      <c r="Q7" s="1">
        <v>16</v>
      </c>
      <c r="R7" s="1">
        <v>17</v>
      </c>
      <c r="S7" s="1">
        <v>18</v>
      </c>
      <c r="T7" s="1">
        <v>19</v>
      </c>
      <c r="U7" s="1">
        <v>20</v>
      </c>
      <c r="V7" s="1">
        <v>21</v>
      </c>
      <c r="W7" s="1">
        <v>22</v>
      </c>
      <c r="X7" s="1">
        <v>23</v>
      </c>
      <c r="Y7" s="1">
        <v>24</v>
      </c>
      <c r="Z7" s="1">
        <v>25</v>
      </c>
      <c r="AA7" s="1">
        <v>26</v>
      </c>
      <c r="AB7" s="1">
        <v>27</v>
      </c>
      <c r="AC7" s="1">
        <v>28</v>
      </c>
      <c r="AD7" s="1">
        <v>29</v>
      </c>
      <c r="AE7" s="1">
        <v>30</v>
      </c>
      <c r="AF7" s="1">
        <v>31</v>
      </c>
      <c r="AG7" s="1">
        <v>32</v>
      </c>
      <c r="AH7" s="1">
        <v>33</v>
      </c>
      <c r="AI7" s="1">
        <v>34</v>
      </c>
      <c r="AJ7" s="1">
        <v>35</v>
      </c>
      <c r="AK7" s="1">
        <v>36</v>
      </c>
      <c r="AL7" s="1">
        <v>37</v>
      </c>
      <c r="AM7" s="1">
        <v>38</v>
      </c>
      <c r="AN7" s="1">
        <v>39</v>
      </c>
      <c r="AO7" s="1">
        <v>40</v>
      </c>
      <c r="AP7" s="1">
        <v>41</v>
      </c>
      <c r="AQ7" s="1">
        <v>42</v>
      </c>
      <c r="AR7" s="1">
        <v>43</v>
      </c>
      <c r="AS7" s="1">
        <v>44</v>
      </c>
      <c r="AT7" s="1">
        <v>45</v>
      </c>
      <c r="AU7" s="1">
        <v>46</v>
      </c>
      <c r="AV7" s="1">
        <v>47</v>
      </c>
      <c r="AW7" s="1">
        <v>48</v>
      </c>
      <c r="AX7" s="1">
        <v>49</v>
      </c>
      <c r="AY7" s="1">
        <v>50</v>
      </c>
      <c r="AZ7" s="1">
        <v>51</v>
      </c>
      <c r="BA7" s="1">
        <v>52</v>
      </c>
      <c r="BB7" s="1">
        <v>53</v>
      </c>
      <c r="BC7" s="1">
        <v>54</v>
      </c>
      <c r="BD7" s="1">
        <v>55</v>
      </c>
      <c r="BE7" s="1">
        <v>56</v>
      </c>
      <c r="BF7" s="1">
        <v>57</v>
      </c>
      <c r="BG7" s="1">
        <v>58</v>
      </c>
      <c r="BH7" s="1">
        <v>59</v>
      </c>
      <c r="BI7" s="1">
        <v>60</v>
      </c>
      <c r="BJ7" s="1">
        <v>61</v>
      </c>
      <c r="BK7" s="1">
        <v>62</v>
      </c>
      <c r="BL7" s="1">
        <v>63</v>
      </c>
      <c r="BM7" s="1">
        <v>64</v>
      </c>
      <c r="BN7" s="1">
        <v>65</v>
      </c>
      <c r="BO7" s="1">
        <v>66</v>
      </c>
      <c r="BP7" s="1">
        <v>67</v>
      </c>
      <c r="BQ7" s="1">
        <v>68</v>
      </c>
      <c r="BR7" s="1">
        <v>69</v>
      </c>
      <c r="BS7" s="1">
        <v>70</v>
      </c>
    </row>
    <row r="8" spans="1:71" ht="28.5" customHeight="1" x14ac:dyDescent="0.25">
      <c r="A8" s="1">
        <v>1</v>
      </c>
      <c r="B8">
        <v>38</v>
      </c>
      <c r="C8">
        <v>0</v>
      </c>
      <c r="D8">
        <v>6</v>
      </c>
      <c r="E8">
        <v>1</v>
      </c>
      <c r="F8">
        <v>5</v>
      </c>
      <c r="G8">
        <v>2</v>
      </c>
      <c r="H8">
        <v>0</v>
      </c>
      <c r="I8">
        <v>2</v>
      </c>
      <c r="J8">
        <v>8</v>
      </c>
      <c r="K8">
        <v>7</v>
      </c>
      <c r="L8">
        <v>0</v>
      </c>
      <c r="M8">
        <v>4</v>
      </c>
      <c r="N8">
        <v>2</v>
      </c>
      <c r="O8">
        <v>6</v>
      </c>
      <c r="P8">
        <v>3</v>
      </c>
      <c r="Q8">
        <v>9</v>
      </c>
      <c r="R8">
        <v>9</v>
      </c>
      <c r="S8">
        <v>4</v>
      </c>
      <c r="T8">
        <v>5</v>
      </c>
      <c r="U8">
        <v>7</v>
      </c>
      <c r="V8">
        <v>1</v>
      </c>
      <c r="W8">
        <v>0</v>
      </c>
      <c r="X8">
        <v>4</v>
      </c>
      <c r="Y8">
        <v>0</v>
      </c>
      <c r="Z8">
        <v>1</v>
      </c>
      <c r="AA8">
        <v>4</v>
      </c>
      <c r="AB8">
        <v>3</v>
      </c>
      <c r="AC8">
        <v>5</v>
      </c>
      <c r="AD8">
        <v>10</v>
      </c>
      <c r="AE8">
        <v>0</v>
      </c>
      <c r="AF8">
        <v>2</v>
      </c>
      <c r="AG8">
        <v>3</v>
      </c>
      <c r="AH8">
        <v>8</v>
      </c>
      <c r="AI8">
        <v>3</v>
      </c>
      <c r="AJ8">
        <v>1</v>
      </c>
      <c r="AK8">
        <v>2</v>
      </c>
      <c r="AL8">
        <v>1</v>
      </c>
      <c r="AM8">
        <v>1</v>
      </c>
      <c r="AN8">
        <v>6</v>
      </c>
      <c r="AO8">
        <v>8</v>
      </c>
      <c r="AP8">
        <v>5</v>
      </c>
      <c r="AQ8">
        <v>2</v>
      </c>
      <c r="AR8">
        <v>6</v>
      </c>
      <c r="AS8">
        <v>1</v>
      </c>
      <c r="AT8">
        <v>3</v>
      </c>
      <c r="AU8">
        <v>2</v>
      </c>
      <c r="AV8">
        <v>2</v>
      </c>
      <c r="AW8">
        <v>5</v>
      </c>
      <c r="AX8">
        <v>5</v>
      </c>
      <c r="AY8">
        <v>9</v>
      </c>
      <c r="AZ8">
        <v>3</v>
      </c>
    </row>
    <row r="9" spans="1:71" ht="28.5" customHeight="1" x14ac:dyDescent="0.25">
      <c r="A9" s="1">
        <v>2</v>
      </c>
      <c r="B9">
        <v>0</v>
      </c>
      <c r="C9">
        <v>33</v>
      </c>
      <c r="D9">
        <v>8</v>
      </c>
      <c r="E9">
        <v>0</v>
      </c>
      <c r="F9">
        <v>5</v>
      </c>
      <c r="G9">
        <v>3</v>
      </c>
      <c r="H9">
        <v>2</v>
      </c>
      <c r="I9">
        <v>4</v>
      </c>
      <c r="J9">
        <v>4</v>
      </c>
      <c r="K9">
        <v>5</v>
      </c>
      <c r="L9">
        <v>2</v>
      </c>
      <c r="M9">
        <v>2</v>
      </c>
      <c r="N9">
        <v>2</v>
      </c>
      <c r="O9">
        <v>8</v>
      </c>
      <c r="P9">
        <v>5</v>
      </c>
      <c r="Q9">
        <v>5</v>
      </c>
      <c r="R9">
        <v>0</v>
      </c>
      <c r="S9">
        <v>3</v>
      </c>
      <c r="T9">
        <v>4</v>
      </c>
      <c r="U9">
        <v>8</v>
      </c>
      <c r="V9">
        <v>2</v>
      </c>
      <c r="W9">
        <v>4</v>
      </c>
      <c r="X9">
        <v>3</v>
      </c>
      <c r="Y9">
        <v>2</v>
      </c>
      <c r="Z9">
        <v>5</v>
      </c>
      <c r="AA9">
        <v>0</v>
      </c>
      <c r="AB9">
        <v>6</v>
      </c>
      <c r="AC9">
        <v>3</v>
      </c>
      <c r="AD9">
        <v>8</v>
      </c>
      <c r="AE9">
        <v>0</v>
      </c>
      <c r="AF9">
        <v>1</v>
      </c>
      <c r="AG9">
        <v>1</v>
      </c>
      <c r="AH9">
        <v>2</v>
      </c>
      <c r="AI9">
        <v>2</v>
      </c>
      <c r="AJ9">
        <v>5</v>
      </c>
      <c r="AK9">
        <v>5</v>
      </c>
      <c r="AL9">
        <v>1</v>
      </c>
      <c r="AM9">
        <v>3</v>
      </c>
      <c r="AN9">
        <v>6</v>
      </c>
      <c r="AO9">
        <v>5</v>
      </c>
      <c r="AP9">
        <v>2</v>
      </c>
      <c r="AQ9">
        <v>0</v>
      </c>
      <c r="AR9">
        <v>8</v>
      </c>
      <c r="AS9">
        <v>0</v>
      </c>
      <c r="AT9">
        <v>4</v>
      </c>
      <c r="AU9">
        <v>7</v>
      </c>
      <c r="AV9">
        <v>2</v>
      </c>
      <c r="AW9">
        <v>3</v>
      </c>
      <c r="AX9">
        <v>2</v>
      </c>
      <c r="AY9">
        <v>2</v>
      </c>
      <c r="AZ9">
        <v>1</v>
      </c>
    </row>
    <row r="10" spans="1:71" ht="28.5" customHeight="1" x14ac:dyDescent="0.25">
      <c r="A10" s="1">
        <v>3</v>
      </c>
      <c r="B10">
        <v>6</v>
      </c>
      <c r="C10">
        <v>8</v>
      </c>
      <c r="D10">
        <v>68</v>
      </c>
      <c r="E10">
        <v>0</v>
      </c>
      <c r="F10">
        <v>3</v>
      </c>
      <c r="G10">
        <v>4</v>
      </c>
      <c r="H10">
        <v>16</v>
      </c>
      <c r="I10">
        <v>15</v>
      </c>
      <c r="J10">
        <v>17</v>
      </c>
      <c r="K10">
        <v>12</v>
      </c>
      <c r="L10">
        <v>2</v>
      </c>
      <c r="M10">
        <v>1</v>
      </c>
      <c r="N10">
        <v>5</v>
      </c>
      <c r="O10">
        <v>6</v>
      </c>
      <c r="P10">
        <v>13</v>
      </c>
      <c r="Q10">
        <v>8</v>
      </c>
      <c r="R10">
        <v>6</v>
      </c>
      <c r="S10">
        <v>1</v>
      </c>
      <c r="T10">
        <v>10</v>
      </c>
      <c r="U10">
        <v>5</v>
      </c>
      <c r="V10">
        <v>4</v>
      </c>
      <c r="W10">
        <v>10</v>
      </c>
      <c r="X10">
        <v>4</v>
      </c>
      <c r="Y10">
        <v>1</v>
      </c>
      <c r="Z10">
        <v>14</v>
      </c>
      <c r="AA10">
        <v>2</v>
      </c>
      <c r="AB10">
        <v>19</v>
      </c>
      <c r="AC10">
        <v>7</v>
      </c>
      <c r="AD10">
        <v>22</v>
      </c>
      <c r="AE10">
        <v>6</v>
      </c>
      <c r="AF10">
        <v>1</v>
      </c>
      <c r="AG10">
        <v>2</v>
      </c>
      <c r="AH10">
        <v>10</v>
      </c>
      <c r="AI10">
        <v>11</v>
      </c>
      <c r="AJ10">
        <v>5</v>
      </c>
      <c r="AK10">
        <v>9</v>
      </c>
      <c r="AL10">
        <v>1</v>
      </c>
      <c r="AM10">
        <v>4</v>
      </c>
      <c r="AN10">
        <v>10</v>
      </c>
      <c r="AO10">
        <v>5</v>
      </c>
      <c r="AP10">
        <v>9</v>
      </c>
      <c r="AQ10">
        <v>8</v>
      </c>
      <c r="AR10">
        <v>0</v>
      </c>
      <c r="AS10">
        <v>4</v>
      </c>
      <c r="AT10">
        <v>10</v>
      </c>
      <c r="AU10">
        <v>6</v>
      </c>
      <c r="AV10">
        <v>0</v>
      </c>
      <c r="AW10">
        <v>2</v>
      </c>
      <c r="AX10">
        <v>0</v>
      </c>
      <c r="AY10">
        <v>13</v>
      </c>
      <c r="AZ10">
        <v>1</v>
      </c>
    </row>
    <row r="11" spans="1:71" ht="28.5" customHeight="1" x14ac:dyDescent="0.25">
      <c r="A11" s="1">
        <v>4</v>
      </c>
      <c r="B11">
        <v>0</v>
      </c>
      <c r="C11">
        <v>0</v>
      </c>
      <c r="D11">
        <v>0</v>
      </c>
      <c r="E11">
        <v>73</v>
      </c>
      <c r="F11">
        <v>4</v>
      </c>
      <c r="G11">
        <v>11</v>
      </c>
      <c r="H11">
        <v>0</v>
      </c>
      <c r="I11">
        <v>8</v>
      </c>
      <c r="J11">
        <v>17</v>
      </c>
      <c r="K11">
        <v>9</v>
      </c>
      <c r="L11">
        <v>3</v>
      </c>
      <c r="M11">
        <v>3</v>
      </c>
      <c r="N11">
        <v>5</v>
      </c>
      <c r="O11">
        <v>11</v>
      </c>
      <c r="P11">
        <v>7</v>
      </c>
      <c r="Q11">
        <v>12</v>
      </c>
      <c r="R11">
        <v>3</v>
      </c>
      <c r="S11">
        <v>7</v>
      </c>
      <c r="T11">
        <v>8</v>
      </c>
      <c r="U11">
        <v>10</v>
      </c>
      <c r="V11">
        <v>3</v>
      </c>
      <c r="W11">
        <v>2</v>
      </c>
      <c r="X11">
        <v>2</v>
      </c>
      <c r="Y11">
        <v>4</v>
      </c>
      <c r="Z11">
        <v>12</v>
      </c>
      <c r="AA11">
        <v>2</v>
      </c>
      <c r="AB11">
        <v>9</v>
      </c>
      <c r="AC11">
        <v>12</v>
      </c>
      <c r="AD11">
        <v>23</v>
      </c>
      <c r="AE11">
        <v>0</v>
      </c>
      <c r="AF11">
        <v>6</v>
      </c>
      <c r="AG11">
        <v>0</v>
      </c>
      <c r="AH11">
        <v>7</v>
      </c>
      <c r="AI11">
        <v>11</v>
      </c>
      <c r="AJ11">
        <v>10</v>
      </c>
      <c r="AK11">
        <v>13</v>
      </c>
      <c r="AL11">
        <v>3</v>
      </c>
      <c r="AM11">
        <v>5</v>
      </c>
      <c r="AN11">
        <v>8</v>
      </c>
      <c r="AO11">
        <v>16</v>
      </c>
      <c r="AP11">
        <v>8</v>
      </c>
      <c r="AQ11">
        <v>7</v>
      </c>
      <c r="AR11">
        <v>21</v>
      </c>
      <c r="AS11">
        <v>8</v>
      </c>
      <c r="AT11">
        <v>8</v>
      </c>
      <c r="AU11">
        <v>13</v>
      </c>
      <c r="AV11">
        <v>4</v>
      </c>
      <c r="AW11">
        <v>1</v>
      </c>
      <c r="AX11">
        <v>3</v>
      </c>
      <c r="AY11">
        <v>15</v>
      </c>
      <c r="AZ11">
        <v>2</v>
      </c>
    </row>
    <row r="12" spans="1:71" ht="28.5" customHeight="1" x14ac:dyDescent="0.25">
      <c r="A12" s="1">
        <v>5</v>
      </c>
      <c r="B12">
        <v>5</v>
      </c>
      <c r="C12">
        <v>5</v>
      </c>
      <c r="D12">
        <v>3</v>
      </c>
      <c r="E12">
        <v>4</v>
      </c>
      <c r="F12">
        <v>48</v>
      </c>
      <c r="G12">
        <v>15</v>
      </c>
      <c r="H12">
        <v>3</v>
      </c>
      <c r="I12">
        <v>4</v>
      </c>
      <c r="J12">
        <v>1</v>
      </c>
      <c r="K12">
        <v>3</v>
      </c>
      <c r="L12">
        <v>0</v>
      </c>
      <c r="M12">
        <v>5</v>
      </c>
      <c r="N12">
        <v>6</v>
      </c>
      <c r="O12">
        <v>1</v>
      </c>
      <c r="P12">
        <v>3</v>
      </c>
      <c r="Q12">
        <v>4</v>
      </c>
      <c r="R12">
        <v>11</v>
      </c>
      <c r="S12">
        <v>1</v>
      </c>
      <c r="T12">
        <v>6</v>
      </c>
      <c r="U12">
        <v>9</v>
      </c>
      <c r="V12">
        <v>2</v>
      </c>
      <c r="W12">
        <v>2</v>
      </c>
      <c r="X12">
        <v>6</v>
      </c>
      <c r="Y12">
        <v>5</v>
      </c>
      <c r="Z12">
        <v>5</v>
      </c>
      <c r="AA12">
        <v>3</v>
      </c>
      <c r="AB12">
        <v>5</v>
      </c>
      <c r="AC12">
        <v>9</v>
      </c>
      <c r="AD12">
        <v>5</v>
      </c>
      <c r="AE12">
        <v>6</v>
      </c>
      <c r="AF12">
        <v>0</v>
      </c>
      <c r="AG12">
        <v>0</v>
      </c>
      <c r="AH12">
        <v>0</v>
      </c>
      <c r="AI12">
        <v>9</v>
      </c>
      <c r="AJ12">
        <v>1</v>
      </c>
      <c r="AK12">
        <v>7</v>
      </c>
      <c r="AL12">
        <v>0</v>
      </c>
      <c r="AM12">
        <v>10</v>
      </c>
      <c r="AN12">
        <v>12</v>
      </c>
      <c r="AO12">
        <v>6</v>
      </c>
      <c r="AP12">
        <v>6</v>
      </c>
      <c r="AQ12">
        <v>1</v>
      </c>
      <c r="AR12">
        <v>8</v>
      </c>
      <c r="AS12">
        <v>1</v>
      </c>
      <c r="AT12">
        <v>5</v>
      </c>
      <c r="AU12">
        <v>0</v>
      </c>
      <c r="AV12">
        <v>1</v>
      </c>
      <c r="AW12">
        <v>4</v>
      </c>
      <c r="AX12">
        <v>0</v>
      </c>
      <c r="AY12">
        <v>14</v>
      </c>
      <c r="AZ12">
        <v>3</v>
      </c>
    </row>
    <row r="13" spans="1:71" ht="28.5" customHeight="1" x14ac:dyDescent="0.25">
      <c r="A13" s="1">
        <v>6</v>
      </c>
      <c r="B13">
        <v>2</v>
      </c>
      <c r="C13">
        <v>3</v>
      </c>
      <c r="D13">
        <v>0</v>
      </c>
      <c r="E13">
        <v>11</v>
      </c>
      <c r="F13">
        <v>15</v>
      </c>
      <c r="G13">
        <v>58</v>
      </c>
      <c r="H13">
        <v>0</v>
      </c>
      <c r="I13">
        <v>5</v>
      </c>
      <c r="J13">
        <v>5</v>
      </c>
      <c r="K13">
        <v>3</v>
      </c>
      <c r="L13">
        <v>5</v>
      </c>
      <c r="M13">
        <v>1</v>
      </c>
      <c r="N13">
        <v>16</v>
      </c>
      <c r="O13">
        <v>4</v>
      </c>
      <c r="P13">
        <v>2</v>
      </c>
      <c r="Q13">
        <v>5</v>
      </c>
      <c r="R13">
        <v>11</v>
      </c>
      <c r="S13">
        <v>3</v>
      </c>
      <c r="T13">
        <v>3</v>
      </c>
      <c r="U13">
        <v>5</v>
      </c>
      <c r="V13">
        <v>3</v>
      </c>
      <c r="W13">
        <v>6</v>
      </c>
      <c r="X13">
        <v>3</v>
      </c>
      <c r="Y13">
        <v>11</v>
      </c>
      <c r="Z13">
        <v>13</v>
      </c>
      <c r="AA13">
        <v>2</v>
      </c>
      <c r="AB13">
        <v>9</v>
      </c>
      <c r="AC13">
        <v>11</v>
      </c>
      <c r="AD13">
        <v>6</v>
      </c>
      <c r="AE13">
        <v>5</v>
      </c>
      <c r="AF13">
        <v>4</v>
      </c>
      <c r="AG13">
        <v>0</v>
      </c>
      <c r="AH13">
        <v>7</v>
      </c>
      <c r="AI13">
        <v>11</v>
      </c>
      <c r="AJ13">
        <v>12</v>
      </c>
      <c r="AK13">
        <v>9</v>
      </c>
      <c r="AL13">
        <v>5</v>
      </c>
      <c r="AM13">
        <v>3</v>
      </c>
      <c r="AN13">
        <v>6</v>
      </c>
      <c r="AO13">
        <v>7</v>
      </c>
      <c r="AP13">
        <v>17</v>
      </c>
      <c r="AQ13">
        <v>1</v>
      </c>
      <c r="AR13">
        <v>0</v>
      </c>
      <c r="AS13">
        <v>1</v>
      </c>
      <c r="AT13">
        <v>0</v>
      </c>
      <c r="AU13">
        <v>2</v>
      </c>
      <c r="AV13">
        <v>0</v>
      </c>
      <c r="AW13">
        <v>6</v>
      </c>
      <c r="AX13">
        <v>0</v>
      </c>
      <c r="AY13">
        <v>10</v>
      </c>
      <c r="AZ13">
        <v>7</v>
      </c>
    </row>
    <row r="14" spans="1:71" ht="28.5" customHeight="1" x14ac:dyDescent="0.25">
      <c r="A14" s="1">
        <v>7</v>
      </c>
      <c r="B14">
        <v>0</v>
      </c>
      <c r="C14">
        <v>0</v>
      </c>
      <c r="D14">
        <v>16</v>
      </c>
      <c r="E14">
        <v>0</v>
      </c>
      <c r="F14">
        <v>3</v>
      </c>
      <c r="G14">
        <v>0</v>
      </c>
      <c r="H14">
        <v>58</v>
      </c>
      <c r="I14">
        <v>9</v>
      </c>
      <c r="J14">
        <v>7</v>
      </c>
      <c r="K14">
        <v>8</v>
      </c>
      <c r="L14">
        <v>3</v>
      </c>
      <c r="M14">
        <v>4</v>
      </c>
      <c r="N14">
        <v>20</v>
      </c>
      <c r="O14">
        <v>3</v>
      </c>
      <c r="P14">
        <v>4</v>
      </c>
      <c r="Q14">
        <v>4</v>
      </c>
      <c r="R14">
        <v>5</v>
      </c>
      <c r="S14">
        <v>0</v>
      </c>
      <c r="T14">
        <v>3</v>
      </c>
      <c r="U14">
        <v>3</v>
      </c>
      <c r="V14">
        <v>3</v>
      </c>
      <c r="W14">
        <v>16</v>
      </c>
      <c r="X14">
        <v>5</v>
      </c>
      <c r="Y14">
        <v>12</v>
      </c>
      <c r="Z14">
        <v>12</v>
      </c>
      <c r="AA14">
        <v>4</v>
      </c>
      <c r="AB14">
        <v>7</v>
      </c>
      <c r="AC14">
        <v>11</v>
      </c>
      <c r="AD14">
        <v>5</v>
      </c>
      <c r="AE14">
        <v>0</v>
      </c>
      <c r="AF14">
        <v>2</v>
      </c>
      <c r="AG14">
        <v>2</v>
      </c>
      <c r="AH14">
        <v>11</v>
      </c>
      <c r="AI14">
        <v>13</v>
      </c>
      <c r="AJ14">
        <v>15</v>
      </c>
      <c r="AK14">
        <v>7</v>
      </c>
      <c r="AL14">
        <v>3</v>
      </c>
      <c r="AM14">
        <v>5</v>
      </c>
      <c r="AN14">
        <v>6</v>
      </c>
      <c r="AO14">
        <v>1</v>
      </c>
      <c r="AP14">
        <v>14</v>
      </c>
      <c r="AQ14">
        <v>3</v>
      </c>
      <c r="AR14">
        <v>8</v>
      </c>
      <c r="AS14">
        <v>3</v>
      </c>
      <c r="AT14">
        <v>3</v>
      </c>
      <c r="AU14">
        <v>2</v>
      </c>
      <c r="AV14">
        <v>1</v>
      </c>
      <c r="AW14">
        <v>7</v>
      </c>
      <c r="AX14">
        <v>2</v>
      </c>
      <c r="AY14">
        <v>6</v>
      </c>
      <c r="AZ14">
        <v>0</v>
      </c>
    </row>
    <row r="15" spans="1:71" ht="28.5" customHeight="1" x14ac:dyDescent="0.25">
      <c r="A15" s="1">
        <v>8</v>
      </c>
      <c r="B15">
        <v>2</v>
      </c>
      <c r="C15">
        <v>4</v>
      </c>
      <c r="D15">
        <v>15</v>
      </c>
      <c r="E15">
        <v>8</v>
      </c>
      <c r="F15">
        <v>4</v>
      </c>
      <c r="G15">
        <v>5</v>
      </c>
      <c r="H15">
        <v>9</v>
      </c>
      <c r="I15">
        <v>64</v>
      </c>
      <c r="J15">
        <v>0</v>
      </c>
      <c r="K15">
        <v>6</v>
      </c>
      <c r="L15">
        <v>7</v>
      </c>
      <c r="M15">
        <v>7</v>
      </c>
      <c r="N15">
        <v>5</v>
      </c>
      <c r="O15">
        <v>9</v>
      </c>
      <c r="P15">
        <v>16</v>
      </c>
      <c r="Q15">
        <v>8</v>
      </c>
      <c r="R15">
        <v>4</v>
      </c>
      <c r="S15">
        <v>6</v>
      </c>
      <c r="T15">
        <v>8</v>
      </c>
      <c r="U15">
        <v>7</v>
      </c>
      <c r="V15">
        <v>0</v>
      </c>
      <c r="W15">
        <v>5</v>
      </c>
      <c r="X15">
        <v>0</v>
      </c>
      <c r="Y15">
        <v>2</v>
      </c>
      <c r="Z15">
        <v>8</v>
      </c>
      <c r="AA15">
        <v>0</v>
      </c>
      <c r="AB15">
        <v>11</v>
      </c>
      <c r="AC15">
        <v>3</v>
      </c>
      <c r="AD15">
        <v>9</v>
      </c>
      <c r="AE15">
        <v>7</v>
      </c>
      <c r="AF15">
        <v>0</v>
      </c>
      <c r="AG15">
        <v>2</v>
      </c>
      <c r="AH15">
        <v>7</v>
      </c>
      <c r="AI15">
        <v>4</v>
      </c>
      <c r="AJ15">
        <v>0</v>
      </c>
      <c r="AK15">
        <v>5</v>
      </c>
      <c r="AL15">
        <v>6</v>
      </c>
      <c r="AM15">
        <v>8</v>
      </c>
      <c r="AN15">
        <v>11</v>
      </c>
      <c r="AO15">
        <v>15</v>
      </c>
      <c r="AP15">
        <v>7</v>
      </c>
      <c r="AQ15">
        <v>6</v>
      </c>
      <c r="AR15">
        <v>18</v>
      </c>
      <c r="AS15">
        <v>13</v>
      </c>
      <c r="AT15">
        <v>12</v>
      </c>
      <c r="AU15">
        <v>10</v>
      </c>
      <c r="AV15">
        <v>3</v>
      </c>
      <c r="AW15">
        <v>2</v>
      </c>
      <c r="AX15">
        <v>2</v>
      </c>
      <c r="AY15">
        <v>0</v>
      </c>
      <c r="AZ15">
        <v>5</v>
      </c>
    </row>
    <row r="16" spans="1:71" ht="28.5" customHeight="1" x14ac:dyDescent="0.25">
      <c r="A16" s="1">
        <v>9</v>
      </c>
      <c r="B16">
        <v>8</v>
      </c>
      <c r="C16">
        <v>4</v>
      </c>
      <c r="D16">
        <v>17</v>
      </c>
      <c r="E16">
        <v>17</v>
      </c>
      <c r="F16">
        <v>1</v>
      </c>
      <c r="G16">
        <v>5</v>
      </c>
      <c r="H16">
        <v>7</v>
      </c>
      <c r="I16">
        <v>0</v>
      </c>
      <c r="J16">
        <v>74</v>
      </c>
      <c r="K16">
        <v>7</v>
      </c>
      <c r="L16">
        <v>2</v>
      </c>
      <c r="M16">
        <v>4</v>
      </c>
      <c r="N16">
        <v>2</v>
      </c>
      <c r="O16">
        <v>7</v>
      </c>
      <c r="P16">
        <v>7</v>
      </c>
      <c r="Q16">
        <v>9</v>
      </c>
      <c r="R16">
        <v>8</v>
      </c>
      <c r="S16">
        <v>11</v>
      </c>
      <c r="T16">
        <v>4</v>
      </c>
      <c r="U16">
        <v>8</v>
      </c>
      <c r="V16">
        <v>1</v>
      </c>
      <c r="W16">
        <v>6</v>
      </c>
      <c r="X16">
        <v>7</v>
      </c>
      <c r="Y16">
        <v>1</v>
      </c>
      <c r="Z16">
        <v>6</v>
      </c>
      <c r="AA16">
        <v>5</v>
      </c>
      <c r="AB16">
        <v>18</v>
      </c>
      <c r="AC16">
        <v>5</v>
      </c>
      <c r="AD16">
        <v>23</v>
      </c>
      <c r="AE16">
        <v>6</v>
      </c>
      <c r="AF16">
        <v>5</v>
      </c>
      <c r="AG16">
        <v>0</v>
      </c>
      <c r="AH16">
        <v>9</v>
      </c>
      <c r="AI16">
        <v>9</v>
      </c>
      <c r="AJ16">
        <v>11</v>
      </c>
      <c r="AK16">
        <v>10</v>
      </c>
      <c r="AL16">
        <v>3</v>
      </c>
      <c r="AM16">
        <v>0</v>
      </c>
      <c r="AN16">
        <v>8</v>
      </c>
      <c r="AO16">
        <v>14</v>
      </c>
      <c r="AP16">
        <v>7</v>
      </c>
      <c r="AQ16">
        <v>8</v>
      </c>
      <c r="AR16">
        <v>16</v>
      </c>
      <c r="AS16">
        <v>4</v>
      </c>
      <c r="AT16">
        <v>8</v>
      </c>
      <c r="AU16">
        <v>11</v>
      </c>
      <c r="AV16">
        <v>3</v>
      </c>
      <c r="AW16">
        <v>0</v>
      </c>
      <c r="AX16">
        <v>3</v>
      </c>
      <c r="AY16">
        <v>25</v>
      </c>
      <c r="AZ16">
        <v>8</v>
      </c>
    </row>
    <row r="17" spans="1:52" ht="28.5" customHeight="1" x14ac:dyDescent="0.25">
      <c r="A17" s="1">
        <v>10</v>
      </c>
      <c r="B17">
        <v>7</v>
      </c>
      <c r="C17">
        <v>5</v>
      </c>
      <c r="D17">
        <v>12</v>
      </c>
      <c r="E17">
        <v>9</v>
      </c>
      <c r="F17">
        <v>0</v>
      </c>
      <c r="G17">
        <v>3</v>
      </c>
      <c r="H17">
        <v>8</v>
      </c>
      <c r="I17">
        <v>6</v>
      </c>
      <c r="J17">
        <v>7</v>
      </c>
      <c r="K17">
        <v>56</v>
      </c>
      <c r="L17">
        <v>0</v>
      </c>
      <c r="M17">
        <v>6</v>
      </c>
      <c r="N17">
        <v>1</v>
      </c>
      <c r="O17">
        <v>21</v>
      </c>
      <c r="P17">
        <v>6</v>
      </c>
      <c r="Q17">
        <v>14</v>
      </c>
      <c r="R17">
        <v>10</v>
      </c>
      <c r="S17">
        <v>5</v>
      </c>
      <c r="T17">
        <v>6</v>
      </c>
      <c r="U17">
        <v>5</v>
      </c>
      <c r="V17">
        <v>2</v>
      </c>
      <c r="W17">
        <v>3</v>
      </c>
      <c r="X17">
        <v>3</v>
      </c>
      <c r="Y17">
        <v>4</v>
      </c>
      <c r="Z17">
        <v>2</v>
      </c>
      <c r="AA17">
        <v>0</v>
      </c>
      <c r="AB17">
        <v>0</v>
      </c>
      <c r="AC17">
        <v>0</v>
      </c>
      <c r="AD17">
        <v>5</v>
      </c>
      <c r="AE17">
        <v>3</v>
      </c>
      <c r="AF17">
        <v>6</v>
      </c>
      <c r="AG17">
        <v>3</v>
      </c>
      <c r="AH17">
        <v>0</v>
      </c>
      <c r="AI17">
        <v>11</v>
      </c>
      <c r="AJ17">
        <v>4</v>
      </c>
      <c r="AK17">
        <v>4</v>
      </c>
      <c r="AL17">
        <v>5</v>
      </c>
      <c r="AM17">
        <v>6</v>
      </c>
      <c r="AN17">
        <v>6</v>
      </c>
      <c r="AO17">
        <v>16</v>
      </c>
      <c r="AP17">
        <v>5</v>
      </c>
      <c r="AQ17">
        <v>7</v>
      </c>
      <c r="AR17">
        <v>14</v>
      </c>
      <c r="AS17">
        <v>6</v>
      </c>
      <c r="AT17">
        <v>17</v>
      </c>
      <c r="AU17">
        <v>0</v>
      </c>
      <c r="AV17">
        <v>3</v>
      </c>
      <c r="AW17">
        <v>1</v>
      </c>
      <c r="AX17">
        <v>1</v>
      </c>
      <c r="AY17">
        <v>2</v>
      </c>
      <c r="AZ17">
        <v>7</v>
      </c>
    </row>
    <row r="18" spans="1:52" ht="28.5" customHeight="1" x14ac:dyDescent="0.25">
      <c r="A18" s="1">
        <v>10</v>
      </c>
      <c r="B18">
        <v>0</v>
      </c>
      <c r="C18">
        <v>2</v>
      </c>
      <c r="D18">
        <v>2</v>
      </c>
      <c r="E18">
        <v>3</v>
      </c>
      <c r="F18">
        <v>0</v>
      </c>
      <c r="G18">
        <v>5</v>
      </c>
      <c r="H18">
        <v>3</v>
      </c>
      <c r="I18">
        <v>7</v>
      </c>
      <c r="J18">
        <v>2</v>
      </c>
      <c r="K18">
        <v>0</v>
      </c>
      <c r="L18">
        <v>23</v>
      </c>
      <c r="M18">
        <v>0</v>
      </c>
      <c r="N18">
        <v>2</v>
      </c>
      <c r="O18">
        <v>4</v>
      </c>
      <c r="P18">
        <v>2</v>
      </c>
      <c r="Q18">
        <v>5</v>
      </c>
      <c r="R18">
        <v>0</v>
      </c>
      <c r="S18">
        <v>5</v>
      </c>
      <c r="T18">
        <v>1</v>
      </c>
      <c r="U18">
        <v>0</v>
      </c>
      <c r="V18">
        <v>1</v>
      </c>
      <c r="W18">
        <v>0</v>
      </c>
      <c r="X18">
        <v>1</v>
      </c>
      <c r="Y18">
        <v>0</v>
      </c>
      <c r="Z18">
        <v>3</v>
      </c>
      <c r="AA18">
        <v>1</v>
      </c>
      <c r="AB18">
        <v>4</v>
      </c>
      <c r="AC18">
        <v>4</v>
      </c>
      <c r="AD18">
        <v>4</v>
      </c>
      <c r="AE18">
        <v>2</v>
      </c>
      <c r="AF18">
        <v>4</v>
      </c>
      <c r="AG18">
        <v>0</v>
      </c>
      <c r="AH18">
        <v>0</v>
      </c>
      <c r="AI18">
        <v>2</v>
      </c>
      <c r="AJ18">
        <v>3</v>
      </c>
      <c r="AK18">
        <v>1</v>
      </c>
      <c r="AL18">
        <v>1</v>
      </c>
      <c r="AM18">
        <v>3</v>
      </c>
      <c r="AN18">
        <v>2</v>
      </c>
      <c r="AO18">
        <v>6</v>
      </c>
      <c r="AP18">
        <v>4</v>
      </c>
      <c r="AQ18">
        <v>3</v>
      </c>
      <c r="AR18">
        <v>3</v>
      </c>
      <c r="AS18">
        <v>0</v>
      </c>
      <c r="AT18">
        <v>5</v>
      </c>
      <c r="AU18">
        <v>0</v>
      </c>
      <c r="AV18">
        <v>2</v>
      </c>
      <c r="AW18">
        <v>1</v>
      </c>
      <c r="AX18">
        <v>1</v>
      </c>
      <c r="AY18">
        <v>2</v>
      </c>
      <c r="AZ18">
        <v>5</v>
      </c>
    </row>
    <row r="19" spans="1:52" ht="28.5" customHeight="1" x14ac:dyDescent="0.25">
      <c r="A19" s="1">
        <v>12</v>
      </c>
      <c r="B19">
        <v>4</v>
      </c>
      <c r="C19">
        <v>2</v>
      </c>
      <c r="D19">
        <v>1</v>
      </c>
      <c r="E19">
        <v>3</v>
      </c>
      <c r="F19">
        <v>5</v>
      </c>
      <c r="G19">
        <v>1</v>
      </c>
      <c r="H19">
        <v>4</v>
      </c>
      <c r="I19">
        <v>7</v>
      </c>
      <c r="J19">
        <v>4</v>
      </c>
      <c r="K19">
        <v>6</v>
      </c>
      <c r="L19">
        <v>0</v>
      </c>
      <c r="M19">
        <v>45</v>
      </c>
      <c r="N19">
        <v>1</v>
      </c>
      <c r="O19">
        <v>11</v>
      </c>
      <c r="P19">
        <v>1</v>
      </c>
      <c r="Q19">
        <v>13</v>
      </c>
      <c r="R19">
        <v>4</v>
      </c>
      <c r="S19">
        <v>4</v>
      </c>
      <c r="T19">
        <v>2</v>
      </c>
      <c r="U19">
        <v>5</v>
      </c>
      <c r="V19">
        <v>1</v>
      </c>
      <c r="W19">
        <v>1</v>
      </c>
      <c r="X19">
        <v>5</v>
      </c>
      <c r="Y19">
        <v>2</v>
      </c>
      <c r="Z19">
        <v>0</v>
      </c>
      <c r="AA19">
        <v>8</v>
      </c>
      <c r="AB19">
        <v>3</v>
      </c>
      <c r="AC19">
        <v>6</v>
      </c>
      <c r="AD19">
        <v>3</v>
      </c>
      <c r="AE19">
        <v>5</v>
      </c>
      <c r="AF19">
        <v>8</v>
      </c>
      <c r="AG19">
        <v>0</v>
      </c>
      <c r="AH19">
        <v>12</v>
      </c>
      <c r="AI19">
        <v>0</v>
      </c>
      <c r="AJ19">
        <v>0</v>
      </c>
      <c r="AK19">
        <v>7</v>
      </c>
      <c r="AL19">
        <v>0</v>
      </c>
      <c r="AM19">
        <v>7</v>
      </c>
      <c r="AN19">
        <v>14</v>
      </c>
      <c r="AO19">
        <v>10</v>
      </c>
      <c r="AP19">
        <v>4</v>
      </c>
      <c r="AQ19">
        <v>2</v>
      </c>
      <c r="AR19">
        <v>17</v>
      </c>
      <c r="AS19">
        <v>3</v>
      </c>
      <c r="AT19">
        <v>0</v>
      </c>
      <c r="AU19">
        <v>2</v>
      </c>
      <c r="AV19">
        <v>2</v>
      </c>
      <c r="AW19">
        <v>7</v>
      </c>
      <c r="AX19">
        <v>5</v>
      </c>
      <c r="AY19">
        <v>6</v>
      </c>
      <c r="AZ19">
        <v>4</v>
      </c>
    </row>
    <row r="20" spans="1:52" ht="28.5" customHeight="1" x14ac:dyDescent="0.25">
      <c r="A20" s="1">
        <v>13</v>
      </c>
      <c r="B20">
        <v>2</v>
      </c>
      <c r="C20">
        <v>2</v>
      </c>
      <c r="D20">
        <v>5</v>
      </c>
      <c r="E20">
        <v>5</v>
      </c>
      <c r="F20">
        <v>6</v>
      </c>
      <c r="G20">
        <v>16</v>
      </c>
      <c r="H20">
        <v>20</v>
      </c>
      <c r="I20">
        <v>5</v>
      </c>
      <c r="J20">
        <v>2</v>
      </c>
      <c r="K20">
        <v>1</v>
      </c>
      <c r="L20">
        <v>2</v>
      </c>
      <c r="M20">
        <v>1</v>
      </c>
      <c r="N20">
        <v>57</v>
      </c>
      <c r="O20">
        <v>2</v>
      </c>
      <c r="P20">
        <v>0</v>
      </c>
      <c r="Q20">
        <v>0</v>
      </c>
      <c r="R20">
        <v>3</v>
      </c>
      <c r="S20">
        <v>0</v>
      </c>
      <c r="T20">
        <v>3</v>
      </c>
      <c r="U20">
        <v>5</v>
      </c>
      <c r="V20">
        <v>3</v>
      </c>
      <c r="W20">
        <v>13</v>
      </c>
      <c r="X20">
        <v>3</v>
      </c>
      <c r="Y20">
        <v>17</v>
      </c>
      <c r="Z20">
        <v>13</v>
      </c>
      <c r="AA20">
        <v>3</v>
      </c>
      <c r="AB20">
        <v>9</v>
      </c>
      <c r="AC20">
        <v>16</v>
      </c>
      <c r="AD20">
        <v>3</v>
      </c>
      <c r="AE20">
        <v>4</v>
      </c>
      <c r="AF20">
        <v>5</v>
      </c>
      <c r="AG20">
        <v>3</v>
      </c>
      <c r="AH20">
        <v>17</v>
      </c>
      <c r="AI20">
        <v>16</v>
      </c>
      <c r="AJ20">
        <v>18</v>
      </c>
      <c r="AK20">
        <v>0</v>
      </c>
      <c r="AL20">
        <v>2</v>
      </c>
      <c r="AM20">
        <v>5</v>
      </c>
      <c r="AN20">
        <v>1</v>
      </c>
      <c r="AO20">
        <v>0</v>
      </c>
      <c r="AP20">
        <v>14</v>
      </c>
      <c r="AQ20">
        <v>2</v>
      </c>
      <c r="AR20">
        <v>1</v>
      </c>
      <c r="AS20">
        <v>1</v>
      </c>
      <c r="AT20">
        <v>1</v>
      </c>
      <c r="AU20">
        <v>0</v>
      </c>
      <c r="AV20">
        <v>0</v>
      </c>
      <c r="AW20">
        <v>13</v>
      </c>
      <c r="AX20">
        <v>0</v>
      </c>
      <c r="AY20">
        <v>9</v>
      </c>
      <c r="AZ20">
        <v>3</v>
      </c>
    </row>
    <row r="21" spans="1:52" ht="28.5" customHeight="1" x14ac:dyDescent="0.25">
      <c r="A21" s="1">
        <v>14</v>
      </c>
      <c r="B21">
        <v>6</v>
      </c>
      <c r="C21">
        <v>8</v>
      </c>
      <c r="D21">
        <v>6</v>
      </c>
      <c r="E21">
        <v>11</v>
      </c>
      <c r="F21">
        <v>1</v>
      </c>
      <c r="G21">
        <v>4</v>
      </c>
      <c r="H21">
        <v>3</v>
      </c>
      <c r="I21">
        <v>9</v>
      </c>
      <c r="J21">
        <v>7</v>
      </c>
      <c r="K21">
        <v>21</v>
      </c>
      <c r="L21">
        <v>4</v>
      </c>
      <c r="M21">
        <v>11</v>
      </c>
      <c r="N21">
        <v>2</v>
      </c>
      <c r="O21">
        <v>58</v>
      </c>
      <c r="P21">
        <v>0</v>
      </c>
      <c r="Q21">
        <v>16</v>
      </c>
      <c r="R21">
        <v>5</v>
      </c>
      <c r="S21">
        <v>5</v>
      </c>
      <c r="T21">
        <v>3</v>
      </c>
      <c r="U21">
        <v>9</v>
      </c>
      <c r="V21">
        <v>1</v>
      </c>
      <c r="W21">
        <v>0</v>
      </c>
      <c r="X21">
        <v>1</v>
      </c>
      <c r="Y21">
        <v>3</v>
      </c>
      <c r="Z21">
        <v>1</v>
      </c>
      <c r="AA21">
        <v>3</v>
      </c>
      <c r="AB21">
        <v>5</v>
      </c>
      <c r="AC21">
        <v>1</v>
      </c>
      <c r="AD21">
        <v>0</v>
      </c>
      <c r="AE21">
        <v>7</v>
      </c>
      <c r="AF21">
        <v>3</v>
      </c>
      <c r="AG21">
        <v>6</v>
      </c>
      <c r="AH21">
        <v>5</v>
      </c>
      <c r="AI21">
        <v>7</v>
      </c>
      <c r="AJ21">
        <v>2</v>
      </c>
      <c r="AK21">
        <v>10</v>
      </c>
      <c r="AL21">
        <v>3</v>
      </c>
      <c r="AM21">
        <v>2</v>
      </c>
      <c r="AN21">
        <v>13</v>
      </c>
      <c r="AO21">
        <v>25</v>
      </c>
      <c r="AP21">
        <v>2</v>
      </c>
      <c r="AQ21">
        <v>0</v>
      </c>
      <c r="AR21">
        <v>15</v>
      </c>
      <c r="AS21">
        <v>10</v>
      </c>
      <c r="AT21">
        <v>13</v>
      </c>
      <c r="AU21">
        <v>6</v>
      </c>
      <c r="AV21">
        <v>0</v>
      </c>
      <c r="AW21">
        <v>0</v>
      </c>
      <c r="AX21">
        <v>2</v>
      </c>
      <c r="AY21">
        <v>3</v>
      </c>
      <c r="AZ21">
        <v>4</v>
      </c>
    </row>
    <row r="22" spans="1:52" ht="28.5" customHeight="1" x14ac:dyDescent="0.25">
      <c r="A22" s="1">
        <v>15</v>
      </c>
      <c r="B22">
        <v>3</v>
      </c>
      <c r="C22">
        <v>5</v>
      </c>
      <c r="D22">
        <v>13</v>
      </c>
      <c r="E22">
        <v>7</v>
      </c>
      <c r="F22">
        <v>3</v>
      </c>
      <c r="G22">
        <v>2</v>
      </c>
      <c r="H22">
        <v>4</v>
      </c>
      <c r="I22">
        <v>16</v>
      </c>
      <c r="J22">
        <v>7</v>
      </c>
      <c r="K22">
        <v>6</v>
      </c>
      <c r="L22">
        <v>2</v>
      </c>
      <c r="M22">
        <v>1</v>
      </c>
      <c r="N22">
        <v>0</v>
      </c>
      <c r="O22">
        <v>0</v>
      </c>
      <c r="P22">
        <v>47</v>
      </c>
      <c r="Q22">
        <v>0</v>
      </c>
      <c r="R22">
        <v>8</v>
      </c>
      <c r="S22">
        <v>7</v>
      </c>
      <c r="T22">
        <v>11</v>
      </c>
      <c r="U22">
        <v>13</v>
      </c>
      <c r="V22">
        <v>1</v>
      </c>
      <c r="W22">
        <v>2</v>
      </c>
      <c r="X22">
        <v>4</v>
      </c>
      <c r="Y22">
        <v>4</v>
      </c>
      <c r="Z22">
        <v>6</v>
      </c>
      <c r="AA22">
        <v>0</v>
      </c>
      <c r="AB22">
        <v>11</v>
      </c>
      <c r="AC22">
        <v>2</v>
      </c>
      <c r="AD22">
        <v>0</v>
      </c>
      <c r="AE22">
        <v>6</v>
      </c>
      <c r="AF22">
        <v>2</v>
      </c>
      <c r="AG22">
        <v>4</v>
      </c>
      <c r="AH22">
        <v>4</v>
      </c>
      <c r="AI22">
        <v>5</v>
      </c>
      <c r="AJ22">
        <v>4</v>
      </c>
      <c r="AK22">
        <v>0</v>
      </c>
      <c r="AL22">
        <v>3</v>
      </c>
      <c r="AM22">
        <v>1</v>
      </c>
      <c r="AN22">
        <v>15</v>
      </c>
      <c r="AO22">
        <v>0</v>
      </c>
      <c r="AP22">
        <v>1</v>
      </c>
      <c r="AQ22">
        <v>2</v>
      </c>
      <c r="AR22">
        <v>15</v>
      </c>
      <c r="AS22">
        <v>8</v>
      </c>
      <c r="AT22">
        <v>11</v>
      </c>
      <c r="AU22">
        <v>8</v>
      </c>
      <c r="AV22">
        <v>0</v>
      </c>
      <c r="AW22">
        <v>0</v>
      </c>
      <c r="AX22">
        <v>2</v>
      </c>
      <c r="AY22">
        <v>3</v>
      </c>
      <c r="AZ22">
        <v>3</v>
      </c>
    </row>
    <row r="23" spans="1:52" ht="28.5" customHeight="1" x14ac:dyDescent="0.25">
      <c r="A23" s="1">
        <v>16</v>
      </c>
      <c r="B23">
        <v>9</v>
      </c>
      <c r="C23">
        <v>5</v>
      </c>
      <c r="D23">
        <v>8</v>
      </c>
      <c r="E23">
        <v>12</v>
      </c>
      <c r="F23">
        <v>4</v>
      </c>
      <c r="G23">
        <v>5</v>
      </c>
      <c r="H23">
        <v>4</v>
      </c>
      <c r="I23">
        <v>8</v>
      </c>
      <c r="J23">
        <v>9</v>
      </c>
      <c r="K23">
        <v>14</v>
      </c>
      <c r="L23">
        <v>5</v>
      </c>
      <c r="M23">
        <v>13</v>
      </c>
      <c r="N23">
        <v>0</v>
      </c>
      <c r="O23">
        <v>16</v>
      </c>
      <c r="P23">
        <v>0</v>
      </c>
      <c r="Q23">
        <v>63</v>
      </c>
      <c r="R23">
        <v>2</v>
      </c>
      <c r="S23">
        <v>5</v>
      </c>
      <c r="T23">
        <v>11</v>
      </c>
      <c r="U23">
        <v>8</v>
      </c>
      <c r="V23">
        <v>1</v>
      </c>
      <c r="W23">
        <v>0</v>
      </c>
      <c r="X23">
        <v>2</v>
      </c>
      <c r="Y23">
        <v>3</v>
      </c>
      <c r="Z23">
        <v>2</v>
      </c>
      <c r="AA23">
        <v>3</v>
      </c>
      <c r="AB23">
        <v>7</v>
      </c>
      <c r="AC23">
        <v>12</v>
      </c>
      <c r="AD23">
        <v>17</v>
      </c>
      <c r="AE23">
        <v>5</v>
      </c>
      <c r="AF23">
        <v>11</v>
      </c>
      <c r="AG23">
        <v>0</v>
      </c>
      <c r="AH23">
        <v>5</v>
      </c>
      <c r="AI23">
        <v>5</v>
      </c>
      <c r="AJ23">
        <v>0</v>
      </c>
      <c r="AK23">
        <v>0</v>
      </c>
      <c r="AL23">
        <v>2</v>
      </c>
      <c r="AM23">
        <v>3</v>
      </c>
      <c r="AN23">
        <v>19</v>
      </c>
      <c r="AO23">
        <v>0</v>
      </c>
      <c r="AP23">
        <v>4</v>
      </c>
      <c r="AQ23">
        <v>4</v>
      </c>
      <c r="AR23">
        <v>14</v>
      </c>
      <c r="AS23">
        <v>4</v>
      </c>
      <c r="AT23">
        <v>5</v>
      </c>
      <c r="AU23">
        <v>8</v>
      </c>
      <c r="AV23">
        <v>3</v>
      </c>
      <c r="AW23">
        <v>11</v>
      </c>
      <c r="AX23">
        <v>4</v>
      </c>
      <c r="AY23">
        <v>8</v>
      </c>
      <c r="AZ23">
        <v>10</v>
      </c>
    </row>
    <row r="24" spans="1:52" ht="28.5" customHeight="1" x14ac:dyDescent="0.25">
      <c r="A24" s="1">
        <v>17</v>
      </c>
      <c r="B24">
        <v>9</v>
      </c>
      <c r="C24">
        <v>0</v>
      </c>
      <c r="D24">
        <v>6</v>
      </c>
      <c r="E24">
        <v>3</v>
      </c>
      <c r="F24">
        <v>11</v>
      </c>
      <c r="G24">
        <v>11</v>
      </c>
      <c r="H24">
        <v>5</v>
      </c>
      <c r="I24">
        <v>4</v>
      </c>
      <c r="J24">
        <v>8</v>
      </c>
      <c r="K24">
        <v>10</v>
      </c>
      <c r="L24">
        <v>0</v>
      </c>
      <c r="M24">
        <v>4</v>
      </c>
      <c r="N24">
        <v>3</v>
      </c>
      <c r="O24">
        <v>5</v>
      </c>
      <c r="P24">
        <v>8</v>
      </c>
      <c r="Q24">
        <v>2</v>
      </c>
      <c r="R24">
        <v>63</v>
      </c>
      <c r="S24">
        <v>3</v>
      </c>
      <c r="T24">
        <v>12</v>
      </c>
      <c r="U24">
        <v>0</v>
      </c>
      <c r="V24">
        <v>0</v>
      </c>
      <c r="W24">
        <v>2</v>
      </c>
      <c r="X24">
        <v>7</v>
      </c>
      <c r="Y24">
        <v>2</v>
      </c>
      <c r="Z24">
        <v>7</v>
      </c>
      <c r="AA24">
        <v>3</v>
      </c>
      <c r="AB24">
        <v>8</v>
      </c>
      <c r="AC24">
        <v>0</v>
      </c>
      <c r="AD24">
        <v>12</v>
      </c>
      <c r="AE24">
        <v>8</v>
      </c>
      <c r="AF24">
        <v>1</v>
      </c>
      <c r="AG24">
        <v>3</v>
      </c>
      <c r="AH24">
        <v>5</v>
      </c>
      <c r="AI24">
        <v>11</v>
      </c>
      <c r="AJ24">
        <v>5</v>
      </c>
      <c r="AK24">
        <v>9</v>
      </c>
      <c r="AL24">
        <v>5</v>
      </c>
      <c r="AM24">
        <v>8</v>
      </c>
      <c r="AN24">
        <v>9</v>
      </c>
      <c r="AO24">
        <v>11</v>
      </c>
      <c r="AP24">
        <v>7</v>
      </c>
      <c r="AQ24">
        <v>8</v>
      </c>
      <c r="AR24">
        <v>10</v>
      </c>
      <c r="AS24">
        <v>0</v>
      </c>
      <c r="AT24">
        <v>6</v>
      </c>
      <c r="AU24">
        <v>2</v>
      </c>
      <c r="AV24">
        <v>5</v>
      </c>
      <c r="AW24">
        <v>1</v>
      </c>
      <c r="AX24">
        <v>1</v>
      </c>
      <c r="AY24">
        <v>18</v>
      </c>
      <c r="AZ24">
        <v>5</v>
      </c>
    </row>
    <row r="25" spans="1:52" ht="28.5" customHeight="1" x14ac:dyDescent="0.25">
      <c r="A25" s="1">
        <v>18</v>
      </c>
      <c r="B25">
        <v>4</v>
      </c>
      <c r="C25">
        <v>3</v>
      </c>
      <c r="D25">
        <v>1</v>
      </c>
      <c r="E25">
        <v>7</v>
      </c>
      <c r="F25">
        <v>1</v>
      </c>
      <c r="G25">
        <v>3</v>
      </c>
      <c r="H25">
        <v>0</v>
      </c>
      <c r="I25">
        <v>6</v>
      </c>
      <c r="J25">
        <v>11</v>
      </c>
      <c r="K25">
        <v>5</v>
      </c>
      <c r="L25">
        <v>5</v>
      </c>
      <c r="M25">
        <v>4</v>
      </c>
      <c r="N25">
        <v>0</v>
      </c>
      <c r="O25">
        <v>5</v>
      </c>
      <c r="P25">
        <v>7</v>
      </c>
      <c r="Q25">
        <v>5</v>
      </c>
      <c r="R25">
        <v>3</v>
      </c>
      <c r="S25">
        <v>34</v>
      </c>
      <c r="T25">
        <v>0</v>
      </c>
      <c r="U25">
        <v>3</v>
      </c>
      <c r="V25">
        <v>0</v>
      </c>
      <c r="W25">
        <v>0</v>
      </c>
      <c r="X25">
        <v>3</v>
      </c>
      <c r="Y25">
        <v>1</v>
      </c>
      <c r="Z25">
        <v>0</v>
      </c>
      <c r="AA25">
        <v>4</v>
      </c>
      <c r="AB25">
        <v>0</v>
      </c>
      <c r="AC25">
        <v>5</v>
      </c>
      <c r="AD25">
        <v>10</v>
      </c>
      <c r="AE25">
        <v>4</v>
      </c>
      <c r="AF25">
        <v>1</v>
      </c>
      <c r="AG25">
        <v>1</v>
      </c>
      <c r="AH25">
        <v>2</v>
      </c>
      <c r="AI25">
        <v>6</v>
      </c>
      <c r="AJ25">
        <v>0</v>
      </c>
      <c r="AK25">
        <v>1</v>
      </c>
      <c r="AL25">
        <v>0</v>
      </c>
      <c r="AM25">
        <v>1</v>
      </c>
      <c r="AN25">
        <v>6</v>
      </c>
      <c r="AO25">
        <v>8</v>
      </c>
      <c r="AP25">
        <v>0</v>
      </c>
      <c r="AQ25">
        <v>2</v>
      </c>
      <c r="AR25">
        <v>11</v>
      </c>
      <c r="AS25">
        <v>4</v>
      </c>
      <c r="AT25">
        <v>8</v>
      </c>
      <c r="AU25">
        <v>4</v>
      </c>
      <c r="AV25">
        <v>5</v>
      </c>
      <c r="AW25">
        <v>3</v>
      </c>
      <c r="AX25">
        <v>1</v>
      </c>
      <c r="AY25">
        <v>6</v>
      </c>
      <c r="AZ25">
        <v>5</v>
      </c>
    </row>
    <row r="26" spans="1:52" ht="28.5" customHeight="1" x14ac:dyDescent="0.25">
      <c r="A26" s="1">
        <v>19</v>
      </c>
      <c r="B26">
        <v>5</v>
      </c>
      <c r="C26">
        <v>4</v>
      </c>
      <c r="D26">
        <v>10</v>
      </c>
      <c r="E26">
        <v>8</v>
      </c>
      <c r="F26">
        <v>6</v>
      </c>
      <c r="G26">
        <v>3</v>
      </c>
      <c r="H26">
        <v>3</v>
      </c>
      <c r="I26">
        <v>8</v>
      </c>
      <c r="J26">
        <v>4</v>
      </c>
      <c r="K26">
        <v>6</v>
      </c>
      <c r="L26">
        <v>1</v>
      </c>
      <c r="M26">
        <v>2</v>
      </c>
      <c r="N26">
        <v>3</v>
      </c>
      <c r="O26">
        <v>3</v>
      </c>
      <c r="P26">
        <v>11</v>
      </c>
      <c r="Q26">
        <v>11</v>
      </c>
      <c r="R26">
        <v>12</v>
      </c>
      <c r="S26">
        <v>0</v>
      </c>
      <c r="T26">
        <v>52</v>
      </c>
      <c r="U26">
        <v>0</v>
      </c>
      <c r="V26">
        <v>1</v>
      </c>
      <c r="W26">
        <v>1</v>
      </c>
      <c r="X26">
        <v>7</v>
      </c>
      <c r="Y26">
        <v>2</v>
      </c>
      <c r="Z26">
        <v>5</v>
      </c>
      <c r="AA26">
        <v>0</v>
      </c>
      <c r="AB26">
        <v>0</v>
      </c>
      <c r="AC26">
        <v>19</v>
      </c>
      <c r="AD26">
        <v>11</v>
      </c>
      <c r="AE26">
        <v>4</v>
      </c>
      <c r="AF26">
        <v>1</v>
      </c>
      <c r="AG26">
        <v>2</v>
      </c>
      <c r="AH26">
        <v>2</v>
      </c>
      <c r="AI26">
        <v>0</v>
      </c>
      <c r="AJ26">
        <v>5</v>
      </c>
      <c r="AK26">
        <v>6</v>
      </c>
      <c r="AL26">
        <v>1</v>
      </c>
      <c r="AM26">
        <v>5</v>
      </c>
      <c r="AN26">
        <v>15</v>
      </c>
      <c r="AO26">
        <v>4</v>
      </c>
      <c r="AP26">
        <v>0</v>
      </c>
      <c r="AQ26">
        <v>5</v>
      </c>
      <c r="AR26">
        <v>17</v>
      </c>
      <c r="AS26">
        <v>11</v>
      </c>
      <c r="AT26">
        <v>5</v>
      </c>
      <c r="AU26">
        <v>5</v>
      </c>
      <c r="AV26">
        <v>2</v>
      </c>
      <c r="AW26">
        <v>1</v>
      </c>
      <c r="AX26">
        <v>1</v>
      </c>
      <c r="AY26">
        <v>6</v>
      </c>
      <c r="AZ26">
        <v>3</v>
      </c>
    </row>
    <row r="27" spans="1:52" ht="28.5" customHeight="1" x14ac:dyDescent="0.25">
      <c r="A27" s="1">
        <v>20</v>
      </c>
      <c r="B27">
        <v>7</v>
      </c>
      <c r="C27">
        <v>8</v>
      </c>
      <c r="D27">
        <v>5</v>
      </c>
      <c r="E27">
        <v>10</v>
      </c>
      <c r="F27">
        <v>9</v>
      </c>
      <c r="G27">
        <v>5</v>
      </c>
      <c r="H27">
        <v>3</v>
      </c>
      <c r="I27">
        <v>7</v>
      </c>
      <c r="J27">
        <v>8</v>
      </c>
      <c r="K27">
        <v>5</v>
      </c>
      <c r="L27">
        <v>0</v>
      </c>
      <c r="M27">
        <v>5</v>
      </c>
      <c r="N27">
        <v>5</v>
      </c>
      <c r="O27">
        <v>9</v>
      </c>
      <c r="P27">
        <v>13</v>
      </c>
      <c r="Q27">
        <v>8</v>
      </c>
      <c r="R27">
        <v>0</v>
      </c>
      <c r="S27">
        <v>3</v>
      </c>
      <c r="T27">
        <v>0</v>
      </c>
      <c r="U27">
        <v>53</v>
      </c>
      <c r="V27">
        <v>0</v>
      </c>
      <c r="W27">
        <v>2</v>
      </c>
      <c r="X27">
        <v>6</v>
      </c>
      <c r="Y27">
        <v>6</v>
      </c>
      <c r="Z27">
        <v>3</v>
      </c>
      <c r="AA27">
        <v>3</v>
      </c>
      <c r="AB27">
        <v>6</v>
      </c>
      <c r="AC27">
        <v>0</v>
      </c>
      <c r="AD27">
        <v>14</v>
      </c>
      <c r="AE27">
        <v>4</v>
      </c>
      <c r="AF27">
        <v>2</v>
      </c>
      <c r="AG27">
        <v>4</v>
      </c>
      <c r="AH27">
        <v>3</v>
      </c>
      <c r="AI27">
        <v>13</v>
      </c>
      <c r="AJ27">
        <v>1</v>
      </c>
      <c r="AK27">
        <v>5</v>
      </c>
      <c r="AL27">
        <v>3</v>
      </c>
      <c r="AM27">
        <v>2</v>
      </c>
      <c r="AN27">
        <v>17</v>
      </c>
      <c r="AO27">
        <v>9</v>
      </c>
      <c r="AP27">
        <v>2</v>
      </c>
      <c r="AQ27">
        <v>1</v>
      </c>
      <c r="AR27">
        <v>11</v>
      </c>
      <c r="AS27">
        <v>0</v>
      </c>
      <c r="AT27">
        <v>2</v>
      </c>
      <c r="AU27">
        <v>16</v>
      </c>
      <c r="AV27">
        <v>2</v>
      </c>
      <c r="AW27">
        <v>1</v>
      </c>
      <c r="AX27">
        <v>3</v>
      </c>
      <c r="AY27">
        <v>5</v>
      </c>
      <c r="AZ27">
        <v>3</v>
      </c>
    </row>
    <row r="28" spans="1:52" ht="28.5" customHeight="1" x14ac:dyDescent="0.25">
      <c r="A28" s="1">
        <v>21</v>
      </c>
      <c r="B28">
        <v>1</v>
      </c>
      <c r="C28">
        <v>2</v>
      </c>
      <c r="D28">
        <v>4</v>
      </c>
      <c r="E28">
        <v>3</v>
      </c>
      <c r="F28">
        <v>2</v>
      </c>
      <c r="G28">
        <v>3</v>
      </c>
      <c r="H28">
        <v>3</v>
      </c>
      <c r="I28">
        <v>0</v>
      </c>
      <c r="J28">
        <v>1</v>
      </c>
      <c r="K28">
        <v>2</v>
      </c>
      <c r="L28">
        <v>1</v>
      </c>
      <c r="M28">
        <v>1</v>
      </c>
      <c r="N28">
        <v>3</v>
      </c>
      <c r="O28">
        <v>1</v>
      </c>
      <c r="P28">
        <v>1</v>
      </c>
      <c r="Q28">
        <v>1</v>
      </c>
      <c r="R28">
        <v>0</v>
      </c>
      <c r="S28">
        <v>0</v>
      </c>
      <c r="T28">
        <v>1</v>
      </c>
      <c r="U28">
        <v>0</v>
      </c>
      <c r="V28">
        <v>12</v>
      </c>
      <c r="W28">
        <v>2</v>
      </c>
      <c r="X28">
        <v>1</v>
      </c>
      <c r="Y28">
        <v>1</v>
      </c>
      <c r="Z28">
        <v>3</v>
      </c>
      <c r="AA28">
        <v>1</v>
      </c>
      <c r="AB28">
        <v>1</v>
      </c>
      <c r="AC28">
        <v>0</v>
      </c>
      <c r="AD28">
        <v>2</v>
      </c>
      <c r="AE28">
        <v>0</v>
      </c>
      <c r="AF28">
        <v>0</v>
      </c>
      <c r="AG28">
        <v>0</v>
      </c>
      <c r="AH28">
        <v>1</v>
      </c>
      <c r="AI28">
        <v>0</v>
      </c>
      <c r="AJ28">
        <v>2</v>
      </c>
      <c r="AK28">
        <v>2</v>
      </c>
      <c r="AL28">
        <v>0</v>
      </c>
      <c r="AM28">
        <v>2</v>
      </c>
      <c r="AN28">
        <v>1</v>
      </c>
      <c r="AO28">
        <v>1</v>
      </c>
      <c r="AP28">
        <v>5</v>
      </c>
      <c r="AQ28">
        <v>0</v>
      </c>
      <c r="AR28">
        <v>1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4</v>
      </c>
      <c r="AZ28">
        <v>0</v>
      </c>
    </row>
    <row r="29" spans="1:52" ht="28.5" customHeight="1" x14ac:dyDescent="0.25">
      <c r="A29" s="1">
        <v>22</v>
      </c>
      <c r="B29">
        <v>0</v>
      </c>
      <c r="C29">
        <v>4</v>
      </c>
      <c r="D29">
        <v>10</v>
      </c>
      <c r="E29">
        <v>2</v>
      </c>
      <c r="F29">
        <v>2</v>
      </c>
      <c r="G29">
        <v>6</v>
      </c>
      <c r="H29">
        <v>16</v>
      </c>
      <c r="I29">
        <v>5</v>
      </c>
      <c r="J29">
        <v>6</v>
      </c>
      <c r="K29">
        <v>3</v>
      </c>
      <c r="L29">
        <v>0</v>
      </c>
      <c r="M29">
        <v>1</v>
      </c>
      <c r="N29">
        <v>13</v>
      </c>
      <c r="O29">
        <v>0</v>
      </c>
      <c r="P29">
        <v>2</v>
      </c>
      <c r="Q29">
        <v>0</v>
      </c>
      <c r="R29">
        <v>2</v>
      </c>
      <c r="S29">
        <v>0</v>
      </c>
      <c r="T29">
        <v>1</v>
      </c>
      <c r="U29">
        <v>2</v>
      </c>
      <c r="V29">
        <v>2</v>
      </c>
      <c r="W29">
        <v>34</v>
      </c>
      <c r="X29">
        <v>0</v>
      </c>
      <c r="Y29">
        <v>0</v>
      </c>
      <c r="Z29">
        <v>15</v>
      </c>
      <c r="AA29">
        <v>0</v>
      </c>
      <c r="AB29">
        <v>4</v>
      </c>
      <c r="AC29">
        <v>2</v>
      </c>
      <c r="AD29">
        <v>3</v>
      </c>
      <c r="AE29">
        <v>0</v>
      </c>
      <c r="AF29">
        <v>0</v>
      </c>
      <c r="AG29">
        <v>0</v>
      </c>
      <c r="AH29">
        <v>6</v>
      </c>
      <c r="AI29">
        <v>9</v>
      </c>
      <c r="AJ29">
        <v>15</v>
      </c>
      <c r="AK29">
        <v>3</v>
      </c>
      <c r="AL29">
        <v>1</v>
      </c>
      <c r="AM29">
        <v>1</v>
      </c>
      <c r="AN29">
        <v>1</v>
      </c>
      <c r="AO29">
        <v>0</v>
      </c>
      <c r="AP29">
        <v>11</v>
      </c>
      <c r="AQ29">
        <v>2</v>
      </c>
      <c r="AR29">
        <v>2</v>
      </c>
      <c r="AS29">
        <v>0</v>
      </c>
      <c r="AT29">
        <v>0</v>
      </c>
      <c r="AU29">
        <v>1</v>
      </c>
      <c r="AV29">
        <v>0</v>
      </c>
      <c r="AW29">
        <v>1</v>
      </c>
      <c r="AX29">
        <v>0</v>
      </c>
      <c r="AY29">
        <v>3</v>
      </c>
      <c r="AZ29">
        <v>0</v>
      </c>
    </row>
    <row r="30" spans="1:52" ht="28.5" customHeight="1" x14ac:dyDescent="0.25">
      <c r="A30" s="1">
        <v>23</v>
      </c>
      <c r="B30">
        <v>4</v>
      </c>
      <c r="C30">
        <v>3</v>
      </c>
      <c r="D30">
        <v>4</v>
      </c>
      <c r="E30">
        <v>2</v>
      </c>
      <c r="F30">
        <v>6</v>
      </c>
      <c r="G30">
        <v>3</v>
      </c>
      <c r="H30">
        <v>5</v>
      </c>
      <c r="I30">
        <v>0</v>
      </c>
      <c r="J30">
        <v>7</v>
      </c>
      <c r="K30">
        <v>3</v>
      </c>
      <c r="L30">
        <v>1</v>
      </c>
      <c r="M30">
        <v>5</v>
      </c>
      <c r="N30">
        <v>3</v>
      </c>
      <c r="O30">
        <v>1</v>
      </c>
      <c r="P30">
        <v>4</v>
      </c>
      <c r="Q30">
        <v>2</v>
      </c>
      <c r="R30">
        <v>7</v>
      </c>
      <c r="S30">
        <v>3</v>
      </c>
      <c r="T30">
        <v>7</v>
      </c>
      <c r="U30">
        <v>6</v>
      </c>
      <c r="V30">
        <v>1</v>
      </c>
      <c r="W30">
        <v>0</v>
      </c>
      <c r="X30">
        <v>30</v>
      </c>
      <c r="Y30">
        <v>8</v>
      </c>
      <c r="Z30">
        <v>1</v>
      </c>
      <c r="AA30">
        <v>10</v>
      </c>
      <c r="AB30">
        <v>5</v>
      </c>
      <c r="AC30">
        <v>5</v>
      </c>
      <c r="AD30">
        <v>5</v>
      </c>
      <c r="AE30">
        <v>2</v>
      </c>
      <c r="AF30">
        <v>0</v>
      </c>
      <c r="AG30">
        <v>0</v>
      </c>
      <c r="AH30">
        <v>3</v>
      </c>
      <c r="AI30">
        <v>5</v>
      </c>
      <c r="AJ30">
        <v>0</v>
      </c>
      <c r="AK30">
        <v>3</v>
      </c>
      <c r="AL30">
        <v>1</v>
      </c>
      <c r="AM30">
        <v>2</v>
      </c>
      <c r="AN30">
        <v>5</v>
      </c>
      <c r="AO30">
        <v>4</v>
      </c>
      <c r="AP30">
        <v>3</v>
      </c>
      <c r="AQ30">
        <v>1</v>
      </c>
      <c r="AR30">
        <v>11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0</v>
      </c>
      <c r="AZ30">
        <v>2</v>
      </c>
    </row>
    <row r="31" spans="1:52" ht="28.5" customHeight="1" x14ac:dyDescent="0.25">
      <c r="A31" s="1">
        <v>24</v>
      </c>
      <c r="B31">
        <v>0</v>
      </c>
      <c r="C31">
        <v>2</v>
      </c>
      <c r="D31">
        <v>1</v>
      </c>
      <c r="E31">
        <v>4</v>
      </c>
      <c r="F31">
        <v>5</v>
      </c>
      <c r="G31">
        <v>11</v>
      </c>
      <c r="H31">
        <v>12</v>
      </c>
      <c r="I31">
        <v>2</v>
      </c>
      <c r="J31">
        <v>1</v>
      </c>
      <c r="K31">
        <v>4</v>
      </c>
      <c r="L31">
        <v>0</v>
      </c>
      <c r="M31">
        <v>2</v>
      </c>
      <c r="N31">
        <v>17</v>
      </c>
      <c r="O31">
        <v>3</v>
      </c>
      <c r="P31">
        <v>4</v>
      </c>
      <c r="Q31">
        <v>3</v>
      </c>
      <c r="R31">
        <v>2</v>
      </c>
      <c r="S31">
        <v>1</v>
      </c>
      <c r="T31">
        <v>2</v>
      </c>
      <c r="U31">
        <v>6</v>
      </c>
      <c r="V31">
        <v>1</v>
      </c>
      <c r="W31">
        <v>0</v>
      </c>
      <c r="X31">
        <v>8</v>
      </c>
      <c r="Y31">
        <v>37</v>
      </c>
      <c r="Z31">
        <v>6</v>
      </c>
      <c r="AA31">
        <v>9</v>
      </c>
      <c r="AB31">
        <v>7</v>
      </c>
      <c r="AC31">
        <v>4</v>
      </c>
      <c r="AD31">
        <v>2</v>
      </c>
      <c r="AE31">
        <v>5</v>
      </c>
      <c r="AF31">
        <v>1</v>
      </c>
      <c r="AG31">
        <v>1</v>
      </c>
      <c r="AH31">
        <v>8</v>
      </c>
      <c r="AI31">
        <v>8</v>
      </c>
      <c r="AJ31">
        <v>5</v>
      </c>
      <c r="AK31">
        <v>4</v>
      </c>
      <c r="AL31">
        <v>2</v>
      </c>
      <c r="AM31">
        <v>3</v>
      </c>
      <c r="AN31">
        <v>4</v>
      </c>
      <c r="AO31">
        <v>4</v>
      </c>
      <c r="AP31">
        <v>8</v>
      </c>
      <c r="AQ31">
        <v>0</v>
      </c>
      <c r="AR31">
        <v>2</v>
      </c>
      <c r="AS31">
        <v>3</v>
      </c>
      <c r="AT31">
        <v>0</v>
      </c>
      <c r="AU31">
        <v>1</v>
      </c>
      <c r="AV31">
        <v>0</v>
      </c>
      <c r="AW31">
        <v>10</v>
      </c>
      <c r="AX31">
        <v>2</v>
      </c>
      <c r="AY31">
        <v>7</v>
      </c>
      <c r="AZ31">
        <v>1</v>
      </c>
    </row>
    <row r="32" spans="1:52" ht="28.5" customHeight="1" x14ac:dyDescent="0.25">
      <c r="A32" s="1">
        <v>25</v>
      </c>
      <c r="B32">
        <v>1</v>
      </c>
      <c r="C32">
        <v>5</v>
      </c>
      <c r="D32">
        <v>14</v>
      </c>
      <c r="E32">
        <v>12</v>
      </c>
      <c r="F32">
        <v>5</v>
      </c>
      <c r="G32">
        <v>13</v>
      </c>
      <c r="H32">
        <v>12</v>
      </c>
      <c r="I32">
        <v>8</v>
      </c>
      <c r="J32">
        <v>6</v>
      </c>
      <c r="K32">
        <v>2</v>
      </c>
      <c r="L32">
        <v>3</v>
      </c>
      <c r="M32">
        <v>0</v>
      </c>
      <c r="N32">
        <v>13</v>
      </c>
      <c r="O32">
        <v>1</v>
      </c>
      <c r="P32">
        <v>6</v>
      </c>
      <c r="Q32">
        <v>2</v>
      </c>
      <c r="R32">
        <v>7</v>
      </c>
      <c r="S32">
        <v>0</v>
      </c>
      <c r="T32">
        <v>5</v>
      </c>
      <c r="U32">
        <v>3</v>
      </c>
      <c r="V32">
        <v>3</v>
      </c>
      <c r="W32">
        <v>15</v>
      </c>
      <c r="X32">
        <v>1</v>
      </c>
      <c r="Y32">
        <v>6</v>
      </c>
      <c r="Z32">
        <v>57</v>
      </c>
      <c r="AA32">
        <v>2</v>
      </c>
      <c r="AB32">
        <v>8</v>
      </c>
      <c r="AC32">
        <v>10</v>
      </c>
      <c r="AD32">
        <v>7</v>
      </c>
      <c r="AE32">
        <v>3</v>
      </c>
      <c r="AF32">
        <v>1</v>
      </c>
      <c r="AG32">
        <v>0</v>
      </c>
      <c r="AH32">
        <v>10</v>
      </c>
      <c r="AI32">
        <v>9</v>
      </c>
      <c r="AJ32">
        <v>18</v>
      </c>
      <c r="AK32">
        <v>9</v>
      </c>
      <c r="AL32">
        <v>4</v>
      </c>
      <c r="AM32">
        <v>6</v>
      </c>
      <c r="AN32">
        <v>0</v>
      </c>
      <c r="AO32">
        <v>3</v>
      </c>
      <c r="AP32">
        <v>15</v>
      </c>
      <c r="AQ32">
        <v>4</v>
      </c>
      <c r="AR32">
        <v>7</v>
      </c>
      <c r="AS32">
        <v>0</v>
      </c>
      <c r="AT32">
        <v>1</v>
      </c>
      <c r="AU32">
        <v>0</v>
      </c>
      <c r="AV32">
        <v>2</v>
      </c>
      <c r="AW32">
        <v>4</v>
      </c>
      <c r="AX32">
        <v>0</v>
      </c>
      <c r="AY32">
        <v>8</v>
      </c>
      <c r="AZ32">
        <v>0</v>
      </c>
    </row>
    <row r="33" spans="1:52" ht="28.5" customHeight="1" x14ac:dyDescent="0.25">
      <c r="A33" s="1">
        <v>26</v>
      </c>
      <c r="B33">
        <v>4</v>
      </c>
      <c r="C33">
        <v>0</v>
      </c>
      <c r="D33">
        <v>2</v>
      </c>
      <c r="E33">
        <v>2</v>
      </c>
      <c r="F33">
        <v>3</v>
      </c>
      <c r="G33">
        <v>2</v>
      </c>
      <c r="H33">
        <v>4</v>
      </c>
      <c r="I33">
        <v>0</v>
      </c>
      <c r="J33">
        <v>5</v>
      </c>
      <c r="K33">
        <v>0</v>
      </c>
      <c r="L33">
        <v>1</v>
      </c>
      <c r="M33">
        <v>8</v>
      </c>
      <c r="N33">
        <v>3</v>
      </c>
      <c r="O33">
        <v>3</v>
      </c>
      <c r="P33">
        <v>0</v>
      </c>
      <c r="Q33">
        <v>3</v>
      </c>
      <c r="R33">
        <v>3</v>
      </c>
      <c r="S33">
        <v>4</v>
      </c>
      <c r="T33">
        <v>0</v>
      </c>
      <c r="U33">
        <v>3</v>
      </c>
      <c r="V33">
        <v>1</v>
      </c>
      <c r="W33">
        <v>0</v>
      </c>
      <c r="X33">
        <v>10</v>
      </c>
      <c r="Y33">
        <v>9</v>
      </c>
      <c r="Z33">
        <v>2</v>
      </c>
      <c r="AA33">
        <v>27</v>
      </c>
      <c r="AB33">
        <v>3</v>
      </c>
      <c r="AC33">
        <v>3</v>
      </c>
      <c r="AD33">
        <v>7</v>
      </c>
      <c r="AE33">
        <v>2</v>
      </c>
      <c r="AF33">
        <v>1</v>
      </c>
      <c r="AG33">
        <v>1</v>
      </c>
      <c r="AH33">
        <v>8</v>
      </c>
      <c r="AI33">
        <v>2</v>
      </c>
      <c r="AJ33">
        <v>0</v>
      </c>
      <c r="AK33">
        <v>4</v>
      </c>
      <c r="AL33">
        <v>1</v>
      </c>
      <c r="AM33">
        <v>1</v>
      </c>
      <c r="AN33">
        <v>4</v>
      </c>
      <c r="AO33">
        <v>8</v>
      </c>
      <c r="AP33">
        <v>2</v>
      </c>
      <c r="AQ33">
        <v>1</v>
      </c>
      <c r="AR33">
        <v>6</v>
      </c>
      <c r="AS33">
        <v>0</v>
      </c>
      <c r="AT33">
        <v>1</v>
      </c>
      <c r="AU33">
        <v>0</v>
      </c>
      <c r="AV33">
        <v>0</v>
      </c>
      <c r="AW33">
        <v>8</v>
      </c>
      <c r="AX33">
        <v>5</v>
      </c>
      <c r="AY33">
        <v>8</v>
      </c>
      <c r="AZ33">
        <v>1</v>
      </c>
    </row>
    <row r="34" spans="1:52" ht="28.5" customHeight="1" x14ac:dyDescent="0.25">
      <c r="A34" s="1">
        <v>27</v>
      </c>
      <c r="B34">
        <v>3</v>
      </c>
      <c r="C34">
        <v>6</v>
      </c>
      <c r="D34">
        <v>19</v>
      </c>
      <c r="E34">
        <v>9</v>
      </c>
      <c r="F34">
        <v>5</v>
      </c>
      <c r="G34">
        <v>9</v>
      </c>
      <c r="H34">
        <v>7</v>
      </c>
      <c r="I34">
        <v>11</v>
      </c>
      <c r="J34">
        <v>18</v>
      </c>
      <c r="K34">
        <v>0</v>
      </c>
      <c r="L34">
        <v>4</v>
      </c>
      <c r="M34">
        <v>3</v>
      </c>
      <c r="N34">
        <v>9</v>
      </c>
      <c r="O34">
        <v>5</v>
      </c>
      <c r="P34">
        <v>11</v>
      </c>
      <c r="Q34">
        <v>7</v>
      </c>
      <c r="R34">
        <v>8</v>
      </c>
      <c r="S34">
        <v>0</v>
      </c>
      <c r="T34">
        <v>0</v>
      </c>
      <c r="U34">
        <v>6</v>
      </c>
      <c r="V34">
        <v>1</v>
      </c>
      <c r="W34">
        <v>4</v>
      </c>
      <c r="X34">
        <v>5</v>
      </c>
      <c r="Y34">
        <v>7</v>
      </c>
      <c r="Z34">
        <v>8</v>
      </c>
      <c r="AA34">
        <v>3</v>
      </c>
      <c r="AB34">
        <v>61</v>
      </c>
      <c r="AC34">
        <v>0</v>
      </c>
      <c r="AD34">
        <v>10</v>
      </c>
      <c r="AE34">
        <v>3</v>
      </c>
      <c r="AF34">
        <v>6</v>
      </c>
      <c r="AG34">
        <v>0</v>
      </c>
      <c r="AH34">
        <v>11</v>
      </c>
      <c r="AI34">
        <v>10</v>
      </c>
      <c r="AJ34">
        <v>6</v>
      </c>
      <c r="AK34">
        <v>10</v>
      </c>
      <c r="AL34">
        <v>5</v>
      </c>
      <c r="AM34">
        <v>5</v>
      </c>
      <c r="AN34">
        <v>1</v>
      </c>
      <c r="AO34">
        <v>5</v>
      </c>
      <c r="AP34">
        <v>0</v>
      </c>
      <c r="AQ34">
        <v>5</v>
      </c>
      <c r="AR34">
        <v>9</v>
      </c>
      <c r="AS34">
        <v>5</v>
      </c>
      <c r="AT34">
        <v>7</v>
      </c>
      <c r="AU34">
        <v>4</v>
      </c>
      <c r="AV34">
        <v>0</v>
      </c>
      <c r="AW34">
        <v>7</v>
      </c>
      <c r="AX34">
        <v>2</v>
      </c>
      <c r="AY34">
        <v>8</v>
      </c>
      <c r="AZ34">
        <v>6</v>
      </c>
    </row>
    <row r="35" spans="1:52" ht="28.5" customHeight="1" x14ac:dyDescent="0.25">
      <c r="A35" s="1">
        <v>28</v>
      </c>
      <c r="B35">
        <v>5</v>
      </c>
      <c r="C35">
        <v>3</v>
      </c>
      <c r="D35">
        <v>7</v>
      </c>
      <c r="E35">
        <v>12</v>
      </c>
      <c r="F35">
        <v>9</v>
      </c>
      <c r="G35">
        <v>11</v>
      </c>
      <c r="H35">
        <v>11</v>
      </c>
      <c r="I35">
        <v>3</v>
      </c>
      <c r="J35">
        <v>5</v>
      </c>
      <c r="K35">
        <v>0</v>
      </c>
      <c r="L35">
        <v>4</v>
      </c>
      <c r="M35">
        <v>6</v>
      </c>
      <c r="N35">
        <v>16</v>
      </c>
      <c r="O35">
        <v>1</v>
      </c>
      <c r="P35">
        <v>2</v>
      </c>
      <c r="Q35">
        <v>12</v>
      </c>
      <c r="R35">
        <v>0</v>
      </c>
      <c r="S35">
        <v>5</v>
      </c>
      <c r="T35">
        <v>19</v>
      </c>
      <c r="U35">
        <v>0</v>
      </c>
      <c r="V35">
        <v>0</v>
      </c>
      <c r="W35">
        <v>2</v>
      </c>
      <c r="X35">
        <v>5</v>
      </c>
      <c r="Y35">
        <v>4</v>
      </c>
      <c r="Z35">
        <v>10</v>
      </c>
      <c r="AA35">
        <v>3</v>
      </c>
      <c r="AB35">
        <v>0</v>
      </c>
      <c r="AC35">
        <v>60</v>
      </c>
      <c r="AD35">
        <v>13</v>
      </c>
      <c r="AE35">
        <v>5</v>
      </c>
      <c r="AF35">
        <v>5</v>
      </c>
      <c r="AG35">
        <v>1</v>
      </c>
      <c r="AH35">
        <v>15</v>
      </c>
      <c r="AI35">
        <v>9</v>
      </c>
      <c r="AJ35">
        <v>9</v>
      </c>
      <c r="AK35">
        <v>7</v>
      </c>
      <c r="AL35">
        <v>1</v>
      </c>
      <c r="AM35">
        <v>4</v>
      </c>
      <c r="AN35">
        <v>4</v>
      </c>
      <c r="AO35">
        <v>0</v>
      </c>
      <c r="AP35">
        <v>16</v>
      </c>
      <c r="AQ35">
        <v>5</v>
      </c>
      <c r="AR35">
        <v>14</v>
      </c>
      <c r="AS35">
        <v>0</v>
      </c>
      <c r="AT35">
        <v>3</v>
      </c>
      <c r="AU35">
        <v>2</v>
      </c>
      <c r="AV35">
        <v>3</v>
      </c>
      <c r="AW35">
        <v>7</v>
      </c>
      <c r="AX35">
        <v>2</v>
      </c>
      <c r="AY35">
        <v>7</v>
      </c>
      <c r="AZ35">
        <v>3</v>
      </c>
    </row>
    <row r="36" spans="1:52" ht="28.5" customHeight="1" x14ac:dyDescent="0.25">
      <c r="A36" s="1">
        <v>29</v>
      </c>
      <c r="B36">
        <v>10</v>
      </c>
      <c r="C36">
        <v>8</v>
      </c>
      <c r="D36">
        <v>22</v>
      </c>
      <c r="E36">
        <v>23</v>
      </c>
      <c r="F36">
        <v>5</v>
      </c>
      <c r="G36">
        <v>6</v>
      </c>
      <c r="H36">
        <v>5</v>
      </c>
      <c r="I36">
        <v>9</v>
      </c>
      <c r="J36">
        <v>23</v>
      </c>
      <c r="K36">
        <v>5</v>
      </c>
      <c r="L36">
        <v>4</v>
      </c>
      <c r="M36">
        <v>3</v>
      </c>
      <c r="N36">
        <v>3</v>
      </c>
      <c r="O36">
        <v>0</v>
      </c>
      <c r="P36">
        <v>0</v>
      </c>
      <c r="Q36">
        <v>17</v>
      </c>
      <c r="R36">
        <v>12</v>
      </c>
      <c r="S36">
        <v>10</v>
      </c>
      <c r="T36">
        <v>11</v>
      </c>
      <c r="U36">
        <v>14</v>
      </c>
      <c r="V36">
        <v>2</v>
      </c>
      <c r="W36">
        <v>3</v>
      </c>
      <c r="X36">
        <v>5</v>
      </c>
      <c r="Y36">
        <v>2</v>
      </c>
      <c r="Z36">
        <v>7</v>
      </c>
      <c r="AA36">
        <v>7</v>
      </c>
      <c r="AB36">
        <v>10</v>
      </c>
      <c r="AC36">
        <v>13</v>
      </c>
      <c r="AD36">
        <v>86</v>
      </c>
      <c r="AE36">
        <v>8</v>
      </c>
      <c r="AF36">
        <v>5</v>
      </c>
      <c r="AG36">
        <v>0</v>
      </c>
      <c r="AH36">
        <v>13</v>
      </c>
      <c r="AI36">
        <v>12</v>
      </c>
      <c r="AJ36">
        <v>5</v>
      </c>
      <c r="AK36">
        <v>9</v>
      </c>
      <c r="AL36">
        <v>3</v>
      </c>
      <c r="AM36">
        <v>8</v>
      </c>
      <c r="AN36">
        <v>7</v>
      </c>
      <c r="AO36">
        <v>18</v>
      </c>
      <c r="AP36">
        <v>7</v>
      </c>
      <c r="AQ36">
        <v>0</v>
      </c>
      <c r="AR36">
        <v>19</v>
      </c>
      <c r="AS36">
        <v>4</v>
      </c>
      <c r="AT36">
        <v>12</v>
      </c>
      <c r="AU36">
        <v>16</v>
      </c>
      <c r="AV36">
        <v>7</v>
      </c>
      <c r="AW36">
        <v>0</v>
      </c>
      <c r="AX36">
        <v>7</v>
      </c>
      <c r="AY36">
        <v>21</v>
      </c>
      <c r="AZ36">
        <v>6</v>
      </c>
    </row>
    <row r="37" spans="1:52" ht="28.5" customHeight="1" x14ac:dyDescent="0.25">
      <c r="A37" s="1">
        <v>30</v>
      </c>
      <c r="B37">
        <v>0</v>
      </c>
      <c r="C37">
        <v>0</v>
      </c>
      <c r="D37">
        <v>6</v>
      </c>
      <c r="E37">
        <v>0</v>
      </c>
      <c r="F37">
        <v>6</v>
      </c>
      <c r="G37">
        <v>5</v>
      </c>
      <c r="H37">
        <v>0</v>
      </c>
      <c r="I37">
        <v>7</v>
      </c>
      <c r="J37">
        <v>6</v>
      </c>
      <c r="K37">
        <v>3</v>
      </c>
      <c r="L37">
        <v>2</v>
      </c>
      <c r="M37">
        <v>5</v>
      </c>
      <c r="N37">
        <v>4</v>
      </c>
      <c r="O37">
        <v>7</v>
      </c>
      <c r="P37">
        <v>6</v>
      </c>
      <c r="Q37">
        <v>5</v>
      </c>
      <c r="R37">
        <v>8</v>
      </c>
      <c r="S37">
        <v>4</v>
      </c>
      <c r="T37">
        <v>4</v>
      </c>
      <c r="U37">
        <v>4</v>
      </c>
      <c r="V37">
        <v>0</v>
      </c>
      <c r="W37">
        <v>0</v>
      </c>
      <c r="X37">
        <v>2</v>
      </c>
      <c r="Y37">
        <v>5</v>
      </c>
      <c r="Z37">
        <v>3</v>
      </c>
      <c r="AA37">
        <v>2</v>
      </c>
      <c r="AB37">
        <v>3</v>
      </c>
      <c r="AC37">
        <v>5</v>
      </c>
      <c r="AD37">
        <v>8</v>
      </c>
      <c r="AE37">
        <v>41</v>
      </c>
      <c r="AF37">
        <v>4</v>
      </c>
      <c r="AG37">
        <v>1</v>
      </c>
      <c r="AH37">
        <v>5</v>
      </c>
      <c r="AI37">
        <v>6</v>
      </c>
      <c r="AJ37">
        <v>3</v>
      </c>
      <c r="AK37">
        <v>3</v>
      </c>
      <c r="AL37">
        <v>1</v>
      </c>
      <c r="AM37">
        <v>4</v>
      </c>
      <c r="AN37">
        <v>8</v>
      </c>
      <c r="AO37">
        <v>11</v>
      </c>
      <c r="AP37">
        <v>7</v>
      </c>
      <c r="AQ37">
        <v>1</v>
      </c>
      <c r="AR37">
        <v>8</v>
      </c>
      <c r="AS37">
        <v>2</v>
      </c>
      <c r="AT37">
        <v>2</v>
      </c>
      <c r="AU37">
        <v>4</v>
      </c>
      <c r="AV37">
        <v>7</v>
      </c>
      <c r="AW37">
        <v>3</v>
      </c>
      <c r="AX37">
        <v>1</v>
      </c>
      <c r="AY37">
        <v>10</v>
      </c>
      <c r="AZ37">
        <v>7</v>
      </c>
    </row>
    <row r="38" spans="1:52" ht="28.5" customHeight="1" x14ac:dyDescent="0.25">
      <c r="A38" s="1">
        <v>31</v>
      </c>
      <c r="B38">
        <v>2</v>
      </c>
      <c r="C38">
        <v>1</v>
      </c>
      <c r="D38">
        <v>1</v>
      </c>
      <c r="E38">
        <v>6</v>
      </c>
      <c r="F38">
        <v>0</v>
      </c>
      <c r="G38">
        <v>4</v>
      </c>
      <c r="H38">
        <v>2</v>
      </c>
      <c r="I38">
        <v>0</v>
      </c>
      <c r="J38">
        <v>5</v>
      </c>
      <c r="K38">
        <v>6</v>
      </c>
      <c r="L38">
        <v>4</v>
      </c>
      <c r="M38">
        <v>8</v>
      </c>
      <c r="N38">
        <v>5</v>
      </c>
      <c r="O38">
        <v>3</v>
      </c>
      <c r="P38">
        <v>2</v>
      </c>
      <c r="Q38">
        <v>11</v>
      </c>
      <c r="R38">
        <v>1</v>
      </c>
      <c r="S38">
        <v>1</v>
      </c>
      <c r="T38">
        <v>1</v>
      </c>
      <c r="U38">
        <v>2</v>
      </c>
      <c r="V38">
        <v>0</v>
      </c>
      <c r="W38">
        <v>0</v>
      </c>
      <c r="X38">
        <v>0</v>
      </c>
      <c r="Y38">
        <v>1</v>
      </c>
      <c r="Z38">
        <v>1</v>
      </c>
      <c r="AA38">
        <v>1</v>
      </c>
      <c r="AB38">
        <v>6</v>
      </c>
      <c r="AC38">
        <v>5</v>
      </c>
      <c r="AD38">
        <v>5</v>
      </c>
      <c r="AE38">
        <v>4</v>
      </c>
      <c r="AF38">
        <v>29</v>
      </c>
      <c r="AG38">
        <v>0</v>
      </c>
      <c r="AH38">
        <v>6</v>
      </c>
      <c r="AI38">
        <v>1</v>
      </c>
      <c r="AJ38">
        <v>0</v>
      </c>
      <c r="AK38">
        <v>0</v>
      </c>
      <c r="AL38">
        <v>1</v>
      </c>
      <c r="AM38">
        <v>4</v>
      </c>
      <c r="AN38">
        <v>0</v>
      </c>
      <c r="AO38">
        <v>4</v>
      </c>
      <c r="AP38">
        <v>4</v>
      </c>
      <c r="AQ38">
        <v>2</v>
      </c>
      <c r="AR38">
        <v>7</v>
      </c>
      <c r="AS38">
        <v>4</v>
      </c>
      <c r="AT38">
        <v>3</v>
      </c>
      <c r="AU38">
        <v>2</v>
      </c>
      <c r="AV38">
        <v>1</v>
      </c>
      <c r="AW38">
        <v>4</v>
      </c>
      <c r="AX38">
        <v>2</v>
      </c>
      <c r="AY38">
        <v>0</v>
      </c>
      <c r="AZ38">
        <v>8</v>
      </c>
    </row>
    <row r="39" spans="1:52" ht="28.5" customHeight="1" x14ac:dyDescent="0.25">
      <c r="A39" s="1">
        <v>32</v>
      </c>
      <c r="B39">
        <v>3</v>
      </c>
      <c r="C39">
        <v>1</v>
      </c>
      <c r="D39">
        <v>2</v>
      </c>
      <c r="E39">
        <v>0</v>
      </c>
      <c r="F39">
        <v>0</v>
      </c>
      <c r="G39">
        <v>0</v>
      </c>
      <c r="H39">
        <v>2</v>
      </c>
      <c r="I39">
        <v>2</v>
      </c>
      <c r="J39">
        <v>0</v>
      </c>
      <c r="K39">
        <v>3</v>
      </c>
      <c r="L39">
        <v>0</v>
      </c>
      <c r="M39">
        <v>0</v>
      </c>
      <c r="N39">
        <v>3</v>
      </c>
      <c r="O39">
        <v>6</v>
      </c>
      <c r="P39">
        <v>4</v>
      </c>
      <c r="Q39">
        <v>0</v>
      </c>
      <c r="R39">
        <v>3</v>
      </c>
      <c r="S39">
        <v>1</v>
      </c>
      <c r="T39">
        <v>2</v>
      </c>
      <c r="U39">
        <v>4</v>
      </c>
      <c r="V39">
        <v>0</v>
      </c>
      <c r="W39">
        <v>0</v>
      </c>
      <c r="X39">
        <v>0</v>
      </c>
      <c r="Y39">
        <v>1</v>
      </c>
      <c r="Z39">
        <v>0</v>
      </c>
      <c r="AA39">
        <v>1</v>
      </c>
      <c r="AB39">
        <v>0</v>
      </c>
      <c r="AC39">
        <v>1</v>
      </c>
      <c r="AD39">
        <v>0</v>
      </c>
      <c r="AE39">
        <v>1</v>
      </c>
      <c r="AF39">
        <v>0</v>
      </c>
      <c r="AG39">
        <v>15</v>
      </c>
      <c r="AH39">
        <v>3</v>
      </c>
      <c r="AI39">
        <v>5</v>
      </c>
      <c r="AJ39">
        <v>1</v>
      </c>
      <c r="AK39">
        <v>3</v>
      </c>
      <c r="AL39">
        <v>1</v>
      </c>
      <c r="AM39">
        <v>0</v>
      </c>
      <c r="AN39">
        <v>6</v>
      </c>
      <c r="AO39">
        <v>3</v>
      </c>
      <c r="AP39">
        <v>0</v>
      </c>
      <c r="AQ39">
        <v>0</v>
      </c>
      <c r="AR39">
        <v>1</v>
      </c>
      <c r="AS39">
        <v>0</v>
      </c>
      <c r="AT39">
        <v>5</v>
      </c>
      <c r="AU39">
        <v>2</v>
      </c>
      <c r="AV39">
        <v>0</v>
      </c>
      <c r="AW39">
        <v>1</v>
      </c>
      <c r="AX39">
        <v>1</v>
      </c>
      <c r="AY39">
        <v>1</v>
      </c>
      <c r="AZ39">
        <v>0</v>
      </c>
    </row>
    <row r="40" spans="1:52" ht="28.5" customHeight="1" x14ac:dyDescent="0.25">
      <c r="A40" s="1">
        <v>33</v>
      </c>
      <c r="B40">
        <v>8</v>
      </c>
      <c r="C40">
        <v>2</v>
      </c>
      <c r="D40">
        <v>10</v>
      </c>
      <c r="E40">
        <v>7</v>
      </c>
      <c r="F40">
        <v>0</v>
      </c>
      <c r="G40">
        <v>7</v>
      </c>
      <c r="H40">
        <v>11</v>
      </c>
      <c r="I40">
        <v>7</v>
      </c>
      <c r="J40">
        <v>9</v>
      </c>
      <c r="K40">
        <v>0</v>
      </c>
      <c r="L40">
        <v>0</v>
      </c>
      <c r="M40">
        <v>12</v>
      </c>
      <c r="N40">
        <v>17</v>
      </c>
      <c r="O40">
        <v>5</v>
      </c>
      <c r="P40">
        <v>4</v>
      </c>
      <c r="Q40">
        <v>5</v>
      </c>
      <c r="R40">
        <v>5</v>
      </c>
      <c r="S40">
        <v>2</v>
      </c>
      <c r="T40">
        <v>2</v>
      </c>
      <c r="U40">
        <v>3</v>
      </c>
      <c r="V40">
        <v>1</v>
      </c>
      <c r="W40">
        <v>6</v>
      </c>
      <c r="X40">
        <v>3</v>
      </c>
      <c r="Y40">
        <v>8</v>
      </c>
      <c r="Z40">
        <v>10</v>
      </c>
      <c r="AA40">
        <v>8</v>
      </c>
      <c r="AB40">
        <v>11</v>
      </c>
      <c r="AC40">
        <v>15</v>
      </c>
      <c r="AD40">
        <v>13</v>
      </c>
      <c r="AE40">
        <v>5</v>
      </c>
      <c r="AF40">
        <v>6</v>
      </c>
      <c r="AG40">
        <v>3</v>
      </c>
      <c r="AH40">
        <v>62</v>
      </c>
      <c r="AI40">
        <v>0</v>
      </c>
      <c r="AJ40">
        <v>10</v>
      </c>
      <c r="AK40">
        <v>7</v>
      </c>
      <c r="AL40">
        <v>6</v>
      </c>
      <c r="AM40">
        <v>4</v>
      </c>
      <c r="AN40">
        <v>7</v>
      </c>
      <c r="AO40">
        <v>7</v>
      </c>
      <c r="AP40">
        <v>11</v>
      </c>
      <c r="AQ40">
        <v>2</v>
      </c>
      <c r="AR40">
        <v>8</v>
      </c>
      <c r="AS40">
        <v>4</v>
      </c>
      <c r="AT40">
        <v>7</v>
      </c>
      <c r="AU40">
        <v>0</v>
      </c>
      <c r="AV40">
        <v>3</v>
      </c>
      <c r="AW40">
        <v>11</v>
      </c>
      <c r="AX40">
        <v>3</v>
      </c>
      <c r="AY40">
        <v>10</v>
      </c>
      <c r="AZ40">
        <v>2</v>
      </c>
    </row>
    <row r="41" spans="1:52" ht="28.5" customHeight="1" x14ac:dyDescent="0.25">
      <c r="A41" s="1">
        <v>34</v>
      </c>
      <c r="B41">
        <v>3</v>
      </c>
      <c r="C41">
        <v>2</v>
      </c>
      <c r="D41">
        <v>11</v>
      </c>
      <c r="E41">
        <v>11</v>
      </c>
      <c r="F41">
        <v>9</v>
      </c>
      <c r="G41">
        <v>11</v>
      </c>
      <c r="H41">
        <v>13</v>
      </c>
      <c r="I41">
        <v>4</v>
      </c>
      <c r="J41">
        <v>9</v>
      </c>
      <c r="K41">
        <v>11</v>
      </c>
      <c r="L41">
        <v>2</v>
      </c>
      <c r="M41">
        <v>0</v>
      </c>
      <c r="N41">
        <v>16</v>
      </c>
      <c r="O41">
        <v>7</v>
      </c>
      <c r="P41">
        <v>5</v>
      </c>
      <c r="Q41">
        <v>5</v>
      </c>
      <c r="R41">
        <v>11</v>
      </c>
      <c r="S41">
        <v>6</v>
      </c>
      <c r="T41">
        <v>0</v>
      </c>
      <c r="U41">
        <v>13</v>
      </c>
      <c r="V41">
        <v>0</v>
      </c>
      <c r="W41">
        <v>9</v>
      </c>
      <c r="X41">
        <v>5</v>
      </c>
      <c r="Y41">
        <v>8</v>
      </c>
      <c r="Z41">
        <v>9</v>
      </c>
      <c r="AA41">
        <v>2</v>
      </c>
      <c r="AB41">
        <v>10</v>
      </c>
      <c r="AC41">
        <v>9</v>
      </c>
      <c r="AD41">
        <v>12</v>
      </c>
      <c r="AE41">
        <v>6</v>
      </c>
      <c r="AF41">
        <v>1</v>
      </c>
      <c r="AG41">
        <v>5</v>
      </c>
      <c r="AH41">
        <v>0</v>
      </c>
      <c r="AI41">
        <v>69</v>
      </c>
      <c r="AJ41">
        <v>11</v>
      </c>
      <c r="AK41">
        <v>9</v>
      </c>
      <c r="AL41">
        <v>0</v>
      </c>
      <c r="AM41">
        <v>8</v>
      </c>
      <c r="AN41">
        <v>13</v>
      </c>
      <c r="AO41">
        <v>7</v>
      </c>
      <c r="AP41">
        <v>10</v>
      </c>
      <c r="AQ41">
        <v>7</v>
      </c>
      <c r="AR41">
        <v>7</v>
      </c>
      <c r="AS41">
        <v>0</v>
      </c>
      <c r="AT41">
        <v>0</v>
      </c>
      <c r="AU41">
        <v>6</v>
      </c>
      <c r="AV41">
        <v>2</v>
      </c>
      <c r="AW41">
        <v>5</v>
      </c>
      <c r="AX41">
        <v>3</v>
      </c>
      <c r="AY41">
        <v>13</v>
      </c>
      <c r="AZ41">
        <v>1</v>
      </c>
    </row>
    <row r="42" spans="1:52" ht="28.5" customHeight="1" x14ac:dyDescent="0.25">
      <c r="A42" s="1">
        <v>35</v>
      </c>
      <c r="B42">
        <v>1</v>
      </c>
      <c r="C42">
        <v>5</v>
      </c>
      <c r="D42">
        <v>5</v>
      </c>
      <c r="E42">
        <v>10</v>
      </c>
      <c r="F42">
        <v>1</v>
      </c>
      <c r="G42">
        <v>12</v>
      </c>
      <c r="H42">
        <v>15</v>
      </c>
      <c r="I42">
        <v>0</v>
      </c>
      <c r="J42">
        <v>11</v>
      </c>
      <c r="K42">
        <v>4</v>
      </c>
      <c r="L42">
        <v>3</v>
      </c>
      <c r="M42">
        <v>0</v>
      </c>
      <c r="N42">
        <v>18</v>
      </c>
      <c r="O42">
        <v>2</v>
      </c>
      <c r="P42">
        <v>4</v>
      </c>
      <c r="Q42">
        <v>0</v>
      </c>
      <c r="R42">
        <v>5</v>
      </c>
      <c r="S42">
        <v>0</v>
      </c>
      <c r="T42">
        <v>5</v>
      </c>
      <c r="U42">
        <v>1</v>
      </c>
      <c r="V42">
        <v>2</v>
      </c>
      <c r="W42">
        <v>15</v>
      </c>
      <c r="X42">
        <v>0</v>
      </c>
      <c r="Y42">
        <v>5</v>
      </c>
      <c r="Z42">
        <v>18</v>
      </c>
      <c r="AA42">
        <v>0</v>
      </c>
      <c r="AB42">
        <v>6</v>
      </c>
      <c r="AC42">
        <v>9</v>
      </c>
      <c r="AD42">
        <v>5</v>
      </c>
      <c r="AE42">
        <v>3</v>
      </c>
      <c r="AF42">
        <v>0</v>
      </c>
      <c r="AG42">
        <v>1</v>
      </c>
      <c r="AH42">
        <v>10</v>
      </c>
      <c r="AI42">
        <v>11</v>
      </c>
      <c r="AJ42">
        <v>51</v>
      </c>
      <c r="AK42">
        <v>11</v>
      </c>
      <c r="AL42">
        <v>2</v>
      </c>
      <c r="AM42">
        <v>2</v>
      </c>
      <c r="AN42">
        <v>6</v>
      </c>
      <c r="AO42">
        <v>1</v>
      </c>
      <c r="AP42">
        <v>11</v>
      </c>
      <c r="AQ42">
        <v>3</v>
      </c>
      <c r="AR42">
        <v>6</v>
      </c>
      <c r="AS42">
        <v>0</v>
      </c>
      <c r="AT42">
        <v>3</v>
      </c>
      <c r="AU42">
        <v>1</v>
      </c>
      <c r="AV42">
        <v>1</v>
      </c>
      <c r="AW42">
        <v>5</v>
      </c>
      <c r="AX42">
        <v>0</v>
      </c>
      <c r="AY42">
        <v>0</v>
      </c>
      <c r="AZ42">
        <v>1</v>
      </c>
    </row>
    <row r="43" spans="1:52" ht="28.5" customHeight="1" x14ac:dyDescent="0.25">
      <c r="A43" s="1">
        <v>36</v>
      </c>
      <c r="B43">
        <v>2</v>
      </c>
      <c r="C43">
        <v>5</v>
      </c>
      <c r="D43">
        <v>9</v>
      </c>
      <c r="E43">
        <v>13</v>
      </c>
      <c r="F43">
        <v>7</v>
      </c>
      <c r="G43">
        <v>9</v>
      </c>
      <c r="H43">
        <v>7</v>
      </c>
      <c r="I43">
        <v>5</v>
      </c>
      <c r="J43">
        <v>10</v>
      </c>
      <c r="K43">
        <v>4</v>
      </c>
      <c r="L43">
        <v>1</v>
      </c>
      <c r="M43">
        <v>7</v>
      </c>
      <c r="N43">
        <v>0</v>
      </c>
      <c r="O43">
        <v>10</v>
      </c>
      <c r="P43">
        <v>0</v>
      </c>
      <c r="Q43">
        <v>0</v>
      </c>
      <c r="R43">
        <v>9</v>
      </c>
      <c r="S43">
        <v>1</v>
      </c>
      <c r="T43">
        <v>6</v>
      </c>
      <c r="U43">
        <v>5</v>
      </c>
      <c r="V43">
        <v>2</v>
      </c>
      <c r="W43">
        <v>3</v>
      </c>
      <c r="X43">
        <v>3</v>
      </c>
      <c r="Y43">
        <v>4</v>
      </c>
      <c r="Z43">
        <v>9</v>
      </c>
      <c r="AA43">
        <v>4</v>
      </c>
      <c r="AB43">
        <v>10</v>
      </c>
      <c r="AC43">
        <v>7</v>
      </c>
      <c r="AD43">
        <v>9</v>
      </c>
      <c r="AE43">
        <v>3</v>
      </c>
      <c r="AF43">
        <v>0</v>
      </c>
      <c r="AG43">
        <v>3</v>
      </c>
      <c r="AH43">
        <v>7</v>
      </c>
      <c r="AI43">
        <v>9</v>
      </c>
      <c r="AJ43">
        <v>11</v>
      </c>
      <c r="AK43">
        <v>59</v>
      </c>
      <c r="AL43">
        <v>6</v>
      </c>
      <c r="AM43">
        <v>5</v>
      </c>
      <c r="AN43">
        <v>21</v>
      </c>
      <c r="AO43">
        <v>0</v>
      </c>
      <c r="AP43">
        <v>8</v>
      </c>
      <c r="AQ43">
        <v>5</v>
      </c>
      <c r="AR43">
        <v>13</v>
      </c>
      <c r="AS43">
        <v>5</v>
      </c>
      <c r="AT43">
        <v>2</v>
      </c>
      <c r="AU43">
        <v>6</v>
      </c>
      <c r="AV43">
        <v>4</v>
      </c>
      <c r="AW43">
        <v>3</v>
      </c>
      <c r="AX43">
        <v>3</v>
      </c>
      <c r="AY43">
        <v>8</v>
      </c>
      <c r="AZ43">
        <v>4</v>
      </c>
    </row>
    <row r="44" spans="1:52" ht="28.5" customHeight="1" x14ac:dyDescent="0.25">
      <c r="A44" s="1">
        <v>37</v>
      </c>
      <c r="B44">
        <v>1</v>
      </c>
      <c r="C44">
        <v>1</v>
      </c>
      <c r="D44">
        <v>1</v>
      </c>
      <c r="E44">
        <v>3</v>
      </c>
      <c r="F44">
        <v>0</v>
      </c>
      <c r="G44">
        <v>5</v>
      </c>
      <c r="H44">
        <v>3</v>
      </c>
      <c r="I44">
        <v>6</v>
      </c>
      <c r="J44">
        <v>3</v>
      </c>
      <c r="K44">
        <v>5</v>
      </c>
      <c r="L44">
        <v>1</v>
      </c>
      <c r="M44">
        <v>0</v>
      </c>
      <c r="N44">
        <v>2</v>
      </c>
      <c r="O44">
        <v>3</v>
      </c>
      <c r="P44">
        <v>3</v>
      </c>
      <c r="Q44">
        <v>2</v>
      </c>
      <c r="R44">
        <v>5</v>
      </c>
      <c r="S44">
        <v>0</v>
      </c>
      <c r="T44">
        <v>1</v>
      </c>
      <c r="U44">
        <v>3</v>
      </c>
      <c r="V44">
        <v>0</v>
      </c>
      <c r="W44">
        <v>1</v>
      </c>
      <c r="X44">
        <v>1</v>
      </c>
      <c r="Y44">
        <v>2</v>
      </c>
      <c r="Z44">
        <v>4</v>
      </c>
      <c r="AA44">
        <v>1</v>
      </c>
      <c r="AB44">
        <v>5</v>
      </c>
      <c r="AC44">
        <v>1</v>
      </c>
      <c r="AD44">
        <v>3</v>
      </c>
      <c r="AE44">
        <v>1</v>
      </c>
      <c r="AF44">
        <v>1</v>
      </c>
      <c r="AG44">
        <v>1</v>
      </c>
      <c r="AH44">
        <v>6</v>
      </c>
      <c r="AI44">
        <v>0</v>
      </c>
      <c r="AJ44">
        <v>2</v>
      </c>
      <c r="AK44">
        <v>6</v>
      </c>
      <c r="AL44">
        <v>24</v>
      </c>
      <c r="AM44">
        <v>8</v>
      </c>
      <c r="AN44">
        <v>1</v>
      </c>
      <c r="AO44">
        <v>2</v>
      </c>
      <c r="AP44">
        <v>6</v>
      </c>
      <c r="AQ44">
        <v>5</v>
      </c>
      <c r="AR44">
        <v>5</v>
      </c>
      <c r="AS44">
        <v>1</v>
      </c>
      <c r="AT44">
        <v>0</v>
      </c>
      <c r="AU44">
        <v>3</v>
      </c>
      <c r="AV44">
        <v>1</v>
      </c>
      <c r="AW44">
        <v>0</v>
      </c>
      <c r="AX44">
        <v>0</v>
      </c>
      <c r="AY44">
        <v>3</v>
      </c>
      <c r="AZ44">
        <v>1</v>
      </c>
    </row>
    <row r="45" spans="1:52" ht="28.5" customHeight="1" x14ac:dyDescent="0.25">
      <c r="A45" s="1">
        <v>38</v>
      </c>
      <c r="B45">
        <v>1</v>
      </c>
      <c r="C45">
        <v>3</v>
      </c>
      <c r="D45">
        <v>4</v>
      </c>
      <c r="E45">
        <v>5</v>
      </c>
      <c r="F45">
        <v>10</v>
      </c>
      <c r="G45">
        <v>3</v>
      </c>
      <c r="H45">
        <v>5</v>
      </c>
      <c r="I45">
        <v>8</v>
      </c>
      <c r="J45">
        <v>0</v>
      </c>
      <c r="K45">
        <v>6</v>
      </c>
      <c r="L45">
        <v>3</v>
      </c>
      <c r="M45">
        <v>7</v>
      </c>
      <c r="N45">
        <v>5</v>
      </c>
      <c r="O45">
        <v>2</v>
      </c>
      <c r="P45">
        <v>1</v>
      </c>
      <c r="Q45">
        <v>3</v>
      </c>
      <c r="R45">
        <v>8</v>
      </c>
      <c r="S45">
        <v>1</v>
      </c>
      <c r="T45">
        <v>5</v>
      </c>
      <c r="U45">
        <v>2</v>
      </c>
      <c r="V45">
        <v>2</v>
      </c>
      <c r="W45">
        <v>1</v>
      </c>
      <c r="X45">
        <v>2</v>
      </c>
      <c r="Y45">
        <v>3</v>
      </c>
      <c r="Z45">
        <v>6</v>
      </c>
      <c r="AA45">
        <v>1</v>
      </c>
      <c r="AB45">
        <v>5</v>
      </c>
      <c r="AC45">
        <v>4</v>
      </c>
      <c r="AD45">
        <v>8</v>
      </c>
      <c r="AE45">
        <v>4</v>
      </c>
      <c r="AF45">
        <v>4</v>
      </c>
      <c r="AG45">
        <v>0</v>
      </c>
      <c r="AH45">
        <v>4</v>
      </c>
      <c r="AI45">
        <v>8</v>
      </c>
      <c r="AJ45">
        <v>2</v>
      </c>
      <c r="AK45">
        <v>5</v>
      </c>
      <c r="AL45">
        <v>8</v>
      </c>
      <c r="AM45">
        <v>43</v>
      </c>
      <c r="AN45">
        <v>5</v>
      </c>
      <c r="AO45">
        <v>4</v>
      </c>
      <c r="AP45">
        <v>8</v>
      </c>
      <c r="AQ45">
        <v>7</v>
      </c>
      <c r="AR45">
        <v>9</v>
      </c>
      <c r="AS45">
        <v>3</v>
      </c>
      <c r="AT45">
        <v>4</v>
      </c>
      <c r="AU45">
        <v>4</v>
      </c>
      <c r="AV45">
        <v>4</v>
      </c>
      <c r="AW45">
        <v>2</v>
      </c>
      <c r="AX45">
        <v>2</v>
      </c>
      <c r="AY45">
        <v>5</v>
      </c>
      <c r="AZ45">
        <v>6</v>
      </c>
    </row>
    <row r="46" spans="1:52" ht="28.5" customHeight="1" x14ac:dyDescent="0.25">
      <c r="A46" s="1">
        <v>39</v>
      </c>
      <c r="B46">
        <v>6</v>
      </c>
      <c r="C46">
        <v>6</v>
      </c>
      <c r="D46">
        <v>10</v>
      </c>
      <c r="E46">
        <v>8</v>
      </c>
      <c r="F46">
        <v>12</v>
      </c>
      <c r="G46">
        <v>6</v>
      </c>
      <c r="H46">
        <v>6</v>
      </c>
      <c r="I46">
        <v>11</v>
      </c>
      <c r="J46">
        <v>8</v>
      </c>
      <c r="K46">
        <v>6</v>
      </c>
      <c r="L46">
        <v>2</v>
      </c>
      <c r="M46">
        <v>14</v>
      </c>
      <c r="N46">
        <v>1</v>
      </c>
      <c r="O46">
        <v>13</v>
      </c>
      <c r="P46">
        <v>15</v>
      </c>
      <c r="Q46">
        <v>19</v>
      </c>
      <c r="R46">
        <v>9</v>
      </c>
      <c r="S46">
        <v>6</v>
      </c>
      <c r="T46">
        <v>15</v>
      </c>
      <c r="U46">
        <v>17</v>
      </c>
      <c r="V46">
        <v>1</v>
      </c>
      <c r="W46">
        <v>1</v>
      </c>
      <c r="X46">
        <v>5</v>
      </c>
      <c r="Y46">
        <v>4</v>
      </c>
      <c r="Z46">
        <v>0</v>
      </c>
      <c r="AA46">
        <v>4</v>
      </c>
      <c r="AB46">
        <v>1</v>
      </c>
      <c r="AC46">
        <v>4</v>
      </c>
      <c r="AD46">
        <v>7</v>
      </c>
      <c r="AE46">
        <v>8</v>
      </c>
      <c r="AF46">
        <v>0</v>
      </c>
      <c r="AG46">
        <v>6</v>
      </c>
      <c r="AH46">
        <v>7</v>
      </c>
      <c r="AI46">
        <v>13</v>
      </c>
      <c r="AJ46">
        <v>6</v>
      </c>
      <c r="AK46">
        <v>21</v>
      </c>
      <c r="AL46">
        <v>1</v>
      </c>
      <c r="AM46">
        <v>5</v>
      </c>
      <c r="AN46">
        <v>76</v>
      </c>
      <c r="AO46">
        <v>0</v>
      </c>
      <c r="AP46">
        <v>5</v>
      </c>
      <c r="AQ46">
        <v>6</v>
      </c>
      <c r="AR46">
        <v>25</v>
      </c>
      <c r="AS46">
        <v>12</v>
      </c>
      <c r="AT46">
        <v>7</v>
      </c>
      <c r="AU46">
        <v>13</v>
      </c>
      <c r="AV46">
        <v>1</v>
      </c>
      <c r="AW46">
        <v>5</v>
      </c>
      <c r="AX46">
        <v>3</v>
      </c>
      <c r="AY46">
        <v>8</v>
      </c>
      <c r="AZ46">
        <v>0</v>
      </c>
    </row>
    <row r="47" spans="1:52" ht="28.5" customHeight="1" x14ac:dyDescent="0.25">
      <c r="A47" s="1">
        <v>40</v>
      </c>
      <c r="B47">
        <v>8</v>
      </c>
      <c r="C47">
        <v>5</v>
      </c>
      <c r="D47">
        <v>5</v>
      </c>
      <c r="E47">
        <v>16</v>
      </c>
      <c r="F47">
        <v>6</v>
      </c>
      <c r="G47">
        <v>7</v>
      </c>
      <c r="H47">
        <v>1</v>
      </c>
      <c r="I47">
        <v>15</v>
      </c>
      <c r="J47">
        <v>14</v>
      </c>
      <c r="K47">
        <v>16</v>
      </c>
      <c r="L47">
        <v>6</v>
      </c>
      <c r="M47">
        <v>10</v>
      </c>
      <c r="N47">
        <v>0</v>
      </c>
      <c r="O47">
        <v>25</v>
      </c>
      <c r="P47">
        <v>0</v>
      </c>
      <c r="Q47">
        <v>0</v>
      </c>
      <c r="R47">
        <v>11</v>
      </c>
      <c r="S47">
        <v>8</v>
      </c>
      <c r="T47">
        <v>4</v>
      </c>
      <c r="U47">
        <v>9</v>
      </c>
      <c r="V47">
        <v>1</v>
      </c>
      <c r="W47">
        <v>0</v>
      </c>
      <c r="X47">
        <v>4</v>
      </c>
      <c r="Y47">
        <v>4</v>
      </c>
      <c r="Z47">
        <v>3</v>
      </c>
      <c r="AA47">
        <v>8</v>
      </c>
      <c r="AB47">
        <v>5</v>
      </c>
      <c r="AC47">
        <v>0</v>
      </c>
      <c r="AD47">
        <v>18</v>
      </c>
      <c r="AE47">
        <v>11</v>
      </c>
      <c r="AF47">
        <v>4</v>
      </c>
      <c r="AG47">
        <v>3</v>
      </c>
      <c r="AH47">
        <v>7</v>
      </c>
      <c r="AI47">
        <v>7</v>
      </c>
      <c r="AJ47">
        <v>1</v>
      </c>
      <c r="AK47">
        <v>0</v>
      </c>
      <c r="AL47">
        <v>2</v>
      </c>
      <c r="AM47">
        <v>4</v>
      </c>
      <c r="AN47">
        <v>0</v>
      </c>
      <c r="AO47">
        <v>73</v>
      </c>
      <c r="AP47">
        <v>4</v>
      </c>
      <c r="AQ47">
        <v>7</v>
      </c>
      <c r="AR47">
        <v>25</v>
      </c>
      <c r="AS47">
        <v>14</v>
      </c>
      <c r="AT47">
        <v>13</v>
      </c>
      <c r="AU47">
        <v>12</v>
      </c>
      <c r="AV47">
        <v>1</v>
      </c>
      <c r="AW47">
        <v>3</v>
      </c>
      <c r="AX47">
        <v>6</v>
      </c>
      <c r="AY47">
        <v>13</v>
      </c>
      <c r="AZ47">
        <v>7</v>
      </c>
    </row>
    <row r="48" spans="1:52" ht="28.5" customHeight="1" x14ac:dyDescent="0.25">
      <c r="A48" s="1">
        <v>41</v>
      </c>
      <c r="B48">
        <v>5</v>
      </c>
      <c r="C48">
        <v>2</v>
      </c>
      <c r="D48">
        <v>9</v>
      </c>
      <c r="E48">
        <v>8</v>
      </c>
      <c r="F48">
        <v>6</v>
      </c>
      <c r="G48">
        <v>17</v>
      </c>
      <c r="H48">
        <v>14</v>
      </c>
      <c r="I48">
        <v>7</v>
      </c>
      <c r="J48">
        <v>7</v>
      </c>
      <c r="K48">
        <v>5</v>
      </c>
      <c r="L48">
        <v>4</v>
      </c>
      <c r="M48">
        <v>4</v>
      </c>
      <c r="N48">
        <v>14</v>
      </c>
      <c r="O48">
        <v>2</v>
      </c>
      <c r="P48">
        <v>1</v>
      </c>
      <c r="Q48">
        <v>4</v>
      </c>
      <c r="R48">
        <v>7</v>
      </c>
      <c r="S48">
        <v>0</v>
      </c>
      <c r="T48">
        <v>0</v>
      </c>
      <c r="U48">
        <v>2</v>
      </c>
      <c r="V48">
        <v>5</v>
      </c>
      <c r="W48">
        <v>11</v>
      </c>
      <c r="X48">
        <v>3</v>
      </c>
      <c r="Y48">
        <v>8</v>
      </c>
      <c r="Z48">
        <v>15</v>
      </c>
      <c r="AA48">
        <v>2</v>
      </c>
      <c r="AB48">
        <v>0</v>
      </c>
      <c r="AC48">
        <v>16</v>
      </c>
      <c r="AD48">
        <v>7</v>
      </c>
      <c r="AE48">
        <v>7</v>
      </c>
      <c r="AF48">
        <v>4</v>
      </c>
      <c r="AG48">
        <v>0</v>
      </c>
      <c r="AH48">
        <v>11</v>
      </c>
      <c r="AI48">
        <v>10</v>
      </c>
      <c r="AJ48">
        <v>11</v>
      </c>
      <c r="AK48">
        <v>8</v>
      </c>
      <c r="AL48">
        <v>6</v>
      </c>
      <c r="AM48">
        <v>8</v>
      </c>
      <c r="AN48">
        <v>5</v>
      </c>
      <c r="AO48">
        <v>4</v>
      </c>
      <c r="AP48">
        <v>63</v>
      </c>
      <c r="AQ48">
        <v>4</v>
      </c>
      <c r="AR48">
        <v>6</v>
      </c>
      <c r="AS48">
        <v>1</v>
      </c>
      <c r="AT48">
        <v>1</v>
      </c>
      <c r="AU48">
        <v>2</v>
      </c>
      <c r="AV48">
        <v>2</v>
      </c>
      <c r="AW48">
        <v>2</v>
      </c>
      <c r="AX48">
        <v>4</v>
      </c>
      <c r="AY48">
        <v>16</v>
      </c>
      <c r="AZ48">
        <v>2</v>
      </c>
    </row>
    <row r="49" spans="1:52" ht="28.5" customHeight="1" x14ac:dyDescent="0.25">
      <c r="A49" s="1">
        <v>42</v>
      </c>
      <c r="B49">
        <v>2</v>
      </c>
      <c r="C49">
        <v>0</v>
      </c>
      <c r="D49">
        <v>8</v>
      </c>
      <c r="E49">
        <v>7</v>
      </c>
      <c r="F49">
        <v>1</v>
      </c>
      <c r="G49">
        <v>1</v>
      </c>
      <c r="H49">
        <v>3</v>
      </c>
      <c r="I49">
        <v>6</v>
      </c>
      <c r="J49">
        <v>8</v>
      </c>
      <c r="K49">
        <v>7</v>
      </c>
      <c r="L49">
        <v>3</v>
      </c>
      <c r="M49">
        <v>2</v>
      </c>
      <c r="N49">
        <v>2</v>
      </c>
      <c r="O49">
        <v>0</v>
      </c>
      <c r="P49">
        <v>2</v>
      </c>
      <c r="Q49">
        <v>4</v>
      </c>
      <c r="R49">
        <v>8</v>
      </c>
      <c r="S49">
        <v>2</v>
      </c>
      <c r="T49">
        <v>5</v>
      </c>
      <c r="U49">
        <v>1</v>
      </c>
      <c r="V49">
        <v>0</v>
      </c>
      <c r="W49">
        <v>2</v>
      </c>
      <c r="X49">
        <v>1</v>
      </c>
      <c r="Y49">
        <v>0</v>
      </c>
      <c r="Z49">
        <v>4</v>
      </c>
      <c r="AA49">
        <v>1</v>
      </c>
      <c r="AB49">
        <v>5</v>
      </c>
      <c r="AC49">
        <v>5</v>
      </c>
      <c r="AD49">
        <v>0</v>
      </c>
      <c r="AE49">
        <v>1</v>
      </c>
      <c r="AF49">
        <v>2</v>
      </c>
      <c r="AG49">
        <v>0</v>
      </c>
      <c r="AH49">
        <v>2</v>
      </c>
      <c r="AI49">
        <v>7</v>
      </c>
      <c r="AJ49">
        <v>3</v>
      </c>
      <c r="AK49">
        <v>5</v>
      </c>
      <c r="AL49">
        <v>5</v>
      </c>
      <c r="AM49">
        <v>7</v>
      </c>
      <c r="AN49">
        <v>6</v>
      </c>
      <c r="AO49">
        <v>7</v>
      </c>
      <c r="AP49">
        <v>4</v>
      </c>
      <c r="AQ49">
        <v>37</v>
      </c>
      <c r="AR49">
        <v>11</v>
      </c>
      <c r="AS49">
        <v>5</v>
      </c>
      <c r="AT49">
        <v>1</v>
      </c>
      <c r="AU49">
        <v>6</v>
      </c>
      <c r="AV49">
        <v>3</v>
      </c>
      <c r="AW49">
        <v>0</v>
      </c>
      <c r="AX49">
        <v>1</v>
      </c>
      <c r="AY49">
        <v>9</v>
      </c>
      <c r="AZ49">
        <v>4</v>
      </c>
    </row>
    <row r="50" spans="1:52" ht="28.5" customHeight="1" x14ac:dyDescent="0.25">
      <c r="A50" s="1">
        <v>43</v>
      </c>
      <c r="B50">
        <v>6</v>
      </c>
      <c r="C50">
        <v>8</v>
      </c>
      <c r="D50">
        <v>0</v>
      </c>
      <c r="E50">
        <v>21</v>
      </c>
      <c r="F50">
        <v>8</v>
      </c>
      <c r="G50">
        <v>0</v>
      </c>
      <c r="H50">
        <v>8</v>
      </c>
      <c r="I50">
        <v>18</v>
      </c>
      <c r="J50">
        <v>16</v>
      </c>
      <c r="K50">
        <v>14</v>
      </c>
      <c r="L50">
        <v>3</v>
      </c>
      <c r="M50">
        <v>17</v>
      </c>
      <c r="N50">
        <v>1</v>
      </c>
      <c r="O50">
        <v>15</v>
      </c>
      <c r="P50">
        <v>15</v>
      </c>
      <c r="Q50">
        <v>14</v>
      </c>
      <c r="R50">
        <v>10</v>
      </c>
      <c r="S50">
        <v>11</v>
      </c>
      <c r="T50">
        <v>17</v>
      </c>
      <c r="U50">
        <v>11</v>
      </c>
      <c r="V50">
        <v>1</v>
      </c>
      <c r="W50">
        <v>2</v>
      </c>
      <c r="X50">
        <v>11</v>
      </c>
      <c r="Y50">
        <v>2</v>
      </c>
      <c r="Z50">
        <v>7</v>
      </c>
      <c r="AA50">
        <v>6</v>
      </c>
      <c r="AB50">
        <v>9</v>
      </c>
      <c r="AC50">
        <v>14</v>
      </c>
      <c r="AD50">
        <v>19</v>
      </c>
      <c r="AE50">
        <v>8</v>
      </c>
      <c r="AF50">
        <v>7</v>
      </c>
      <c r="AG50">
        <v>1</v>
      </c>
      <c r="AH50">
        <v>8</v>
      </c>
      <c r="AI50">
        <v>7</v>
      </c>
      <c r="AJ50">
        <v>6</v>
      </c>
      <c r="AK50">
        <v>13</v>
      </c>
      <c r="AL50">
        <v>5</v>
      </c>
      <c r="AM50">
        <v>9</v>
      </c>
      <c r="AN50">
        <v>25</v>
      </c>
      <c r="AO50">
        <v>25</v>
      </c>
      <c r="AP50">
        <v>6</v>
      </c>
      <c r="AQ50">
        <v>11</v>
      </c>
      <c r="AR50">
        <v>100</v>
      </c>
      <c r="AS50">
        <v>18</v>
      </c>
      <c r="AT50">
        <v>14</v>
      </c>
      <c r="AU50">
        <v>13</v>
      </c>
      <c r="AV50">
        <v>0</v>
      </c>
      <c r="AW50">
        <v>5</v>
      </c>
      <c r="AX50">
        <v>0</v>
      </c>
      <c r="AY50">
        <v>12</v>
      </c>
      <c r="AZ50">
        <v>9</v>
      </c>
    </row>
    <row r="51" spans="1:52" ht="28.5" customHeight="1" x14ac:dyDescent="0.25">
      <c r="A51" s="1">
        <v>44</v>
      </c>
      <c r="B51">
        <v>1</v>
      </c>
      <c r="C51">
        <v>0</v>
      </c>
      <c r="D51">
        <v>4</v>
      </c>
      <c r="E51">
        <v>8</v>
      </c>
      <c r="F51">
        <v>1</v>
      </c>
      <c r="G51">
        <v>1</v>
      </c>
      <c r="H51">
        <v>3</v>
      </c>
      <c r="I51">
        <v>13</v>
      </c>
      <c r="J51">
        <v>4</v>
      </c>
      <c r="K51">
        <v>6</v>
      </c>
      <c r="L51">
        <v>0</v>
      </c>
      <c r="M51">
        <v>3</v>
      </c>
      <c r="N51">
        <v>1</v>
      </c>
      <c r="O51">
        <v>10</v>
      </c>
      <c r="P51">
        <v>8</v>
      </c>
      <c r="Q51">
        <v>4</v>
      </c>
      <c r="R51">
        <v>0</v>
      </c>
      <c r="S51">
        <v>4</v>
      </c>
      <c r="T51">
        <v>11</v>
      </c>
      <c r="U51">
        <v>0</v>
      </c>
      <c r="V51">
        <v>0</v>
      </c>
      <c r="W51">
        <v>0</v>
      </c>
      <c r="X51">
        <v>1</v>
      </c>
      <c r="Y51">
        <v>3</v>
      </c>
      <c r="Z51">
        <v>0</v>
      </c>
      <c r="AA51">
        <v>0</v>
      </c>
      <c r="AB51">
        <v>5</v>
      </c>
      <c r="AC51">
        <v>0</v>
      </c>
      <c r="AD51">
        <v>4</v>
      </c>
      <c r="AE51">
        <v>2</v>
      </c>
      <c r="AF51">
        <v>4</v>
      </c>
      <c r="AG51">
        <v>0</v>
      </c>
      <c r="AH51">
        <v>4</v>
      </c>
      <c r="AI51">
        <v>0</v>
      </c>
      <c r="AJ51">
        <v>0</v>
      </c>
      <c r="AK51">
        <v>5</v>
      </c>
      <c r="AL51">
        <v>1</v>
      </c>
      <c r="AM51">
        <v>3</v>
      </c>
      <c r="AN51">
        <v>12</v>
      </c>
      <c r="AO51">
        <v>14</v>
      </c>
      <c r="AP51">
        <v>1</v>
      </c>
      <c r="AQ51">
        <v>5</v>
      </c>
      <c r="AR51">
        <v>18</v>
      </c>
      <c r="AS51">
        <v>41</v>
      </c>
      <c r="AT51">
        <v>7</v>
      </c>
      <c r="AU51">
        <v>13</v>
      </c>
      <c r="AV51">
        <v>1</v>
      </c>
      <c r="AW51">
        <v>3</v>
      </c>
      <c r="AX51">
        <v>1</v>
      </c>
      <c r="AY51">
        <v>7</v>
      </c>
      <c r="AZ51">
        <v>2</v>
      </c>
    </row>
    <row r="52" spans="1:52" ht="28.5" customHeight="1" x14ac:dyDescent="0.25">
      <c r="A52" s="1">
        <v>45</v>
      </c>
      <c r="B52">
        <v>3</v>
      </c>
      <c r="C52">
        <v>4</v>
      </c>
      <c r="D52">
        <v>10</v>
      </c>
      <c r="E52">
        <v>8</v>
      </c>
      <c r="F52">
        <v>5</v>
      </c>
      <c r="G52">
        <v>0</v>
      </c>
      <c r="H52">
        <v>3</v>
      </c>
      <c r="I52">
        <v>12</v>
      </c>
      <c r="J52">
        <v>8</v>
      </c>
      <c r="K52">
        <v>17</v>
      </c>
      <c r="L52">
        <v>5</v>
      </c>
      <c r="M52">
        <v>0</v>
      </c>
      <c r="N52">
        <v>1</v>
      </c>
      <c r="O52">
        <v>13</v>
      </c>
      <c r="P52">
        <v>11</v>
      </c>
      <c r="Q52">
        <v>5</v>
      </c>
      <c r="R52">
        <v>6</v>
      </c>
      <c r="S52">
        <v>8</v>
      </c>
      <c r="T52">
        <v>5</v>
      </c>
      <c r="U52">
        <v>2</v>
      </c>
      <c r="V52">
        <v>0</v>
      </c>
      <c r="W52">
        <v>0</v>
      </c>
      <c r="X52">
        <v>1</v>
      </c>
      <c r="Y52">
        <v>0</v>
      </c>
      <c r="Z52">
        <v>1</v>
      </c>
      <c r="AA52">
        <v>1</v>
      </c>
      <c r="AB52">
        <v>7</v>
      </c>
      <c r="AC52">
        <v>3</v>
      </c>
      <c r="AD52">
        <v>12</v>
      </c>
      <c r="AE52">
        <v>2</v>
      </c>
      <c r="AF52">
        <v>3</v>
      </c>
      <c r="AG52">
        <v>5</v>
      </c>
      <c r="AH52">
        <v>7</v>
      </c>
      <c r="AI52">
        <v>0</v>
      </c>
      <c r="AJ52">
        <v>3</v>
      </c>
      <c r="AK52">
        <v>2</v>
      </c>
      <c r="AL52">
        <v>0</v>
      </c>
      <c r="AM52">
        <v>4</v>
      </c>
      <c r="AN52">
        <v>7</v>
      </c>
      <c r="AO52">
        <v>13</v>
      </c>
      <c r="AP52">
        <v>1</v>
      </c>
      <c r="AQ52">
        <v>1</v>
      </c>
      <c r="AR52">
        <v>14</v>
      </c>
      <c r="AS52">
        <v>7</v>
      </c>
      <c r="AT52">
        <v>47</v>
      </c>
      <c r="AU52">
        <v>0</v>
      </c>
      <c r="AV52">
        <v>1</v>
      </c>
      <c r="AW52">
        <v>0</v>
      </c>
      <c r="AX52">
        <v>0</v>
      </c>
      <c r="AY52">
        <v>3</v>
      </c>
      <c r="AZ52">
        <v>7</v>
      </c>
    </row>
    <row r="53" spans="1:52" ht="28.5" customHeight="1" x14ac:dyDescent="0.25">
      <c r="A53" s="1">
        <v>46</v>
      </c>
      <c r="B53">
        <v>2</v>
      </c>
      <c r="C53">
        <v>7</v>
      </c>
      <c r="D53">
        <v>6</v>
      </c>
      <c r="E53">
        <v>13</v>
      </c>
      <c r="F53">
        <v>0</v>
      </c>
      <c r="G53">
        <v>2</v>
      </c>
      <c r="H53">
        <v>2</v>
      </c>
      <c r="I53">
        <v>10</v>
      </c>
      <c r="J53">
        <v>11</v>
      </c>
      <c r="K53">
        <v>0</v>
      </c>
      <c r="L53">
        <v>0</v>
      </c>
      <c r="M53">
        <v>2</v>
      </c>
      <c r="N53">
        <v>0</v>
      </c>
      <c r="O53">
        <v>6</v>
      </c>
      <c r="P53">
        <v>8</v>
      </c>
      <c r="Q53">
        <v>8</v>
      </c>
      <c r="R53">
        <v>2</v>
      </c>
      <c r="S53">
        <v>4</v>
      </c>
      <c r="T53">
        <v>5</v>
      </c>
      <c r="U53">
        <v>16</v>
      </c>
      <c r="V53">
        <v>0</v>
      </c>
      <c r="W53">
        <v>1</v>
      </c>
      <c r="X53">
        <v>1</v>
      </c>
      <c r="Y53">
        <v>1</v>
      </c>
      <c r="Z53">
        <v>0</v>
      </c>
      <c r="AA53">
        <v>0</v>
      </c>
      <c r="AB53">
        <v>4</v>
      </c>
      <c r="AC53">
        <v>2</v>
      </c>
      <c r="AD53">
        <v>16</v>
      </c>
      <c r="AE53">
        <v>4</v>
      </c>
      <c r="AF53">
        <v>2</v>
      </c>
      <c r="AG53">
        <v>2</v>
      </c>
      <c r="AH53">
        <v>0</v>
      </c>
      <c r="AI53">
        <v>6</v>
      </c>
      <c r="AJ53">
        <v>1</v>
      </c>
      <c r="AK53">
        <v>6</v>
      </c>
      <c r="AL53">
        <v>3</v>
      </c>
      <c r="AM53">
        <v>4</v>
      </c>
      <c r="AN53">
        <v>13</v>
      </c>
      <c r="AO53">
        <v>12</v>
      </c>
      <c r="AP53">
        <v>2</v>
      </c>
      <c r="AQ53">
        <v>6</v>
      </c>
      <c r="AR53">
        <v>13</v>
      </c>
      <c r="AS53">
        <v>13</v>
      </c>
      <c r="AT53">
        <v>0</v>
      </c>
      <c r="AU53">
        <v>48</v>
      </c>
      <c r="AV53">
        <v>2</v>
      </c>
      <c r="AW53">
        <v>1</v>
      </c>
      <c r="AX53">
        <v>6</v>
      </c>
      <c r="AY53">
        <v>9</v>
      </c>
      <c r="AZ53">
        <v>2</v>
      </c>
    </row>
    <row r="54" spans="1:52" ht="28.5" customHeight="1" x14ac:dyDescent="0.25">
      <c r="A54" s="1">
        <v>47</v>
      </c>
      <c r="B54">
        <v>2</v>
      </c>
      <c r="C54">
        <v>2</v>
      </c>
      <c r="D54">
        <v>0</v>
      </c>
      <c r="E54">
        <v>4</v>
      </c>
      <c r="F54">
        <v>1</v>
      </c>
      <c r="G54">
        <v>0</v>
      </c>
      <c r="H54">
        <v>1</v>
      </c>
      <c r="I54">
        <v>3</v>
      </c>
      <c r="J54">
        <v>3</v>
      </c>
      <c r="K54">
        <v>3</v>
      </c>
      <c r="L54">
        <v>2</v>
      </c>
      <c r="M54">
        <v>2</v>
      </c>
      <c r="N54">
        <v>0</v>
      </c>
      <c r="O54">
        <v>0</v>
      </c>
      <c r="P54">
        <v>0</v>
      </c>
      <c r="Q54">
        <v>3</v>
      </c>
      <c r="R54">
        <v>5</v>
      </c>
      <c r="S54">
        <v>5</v>
      </c>
      <c r="T54">
        <v>2</v>
      </c>
      <c r="U54">
        <v>2</v>
      </c>
      <c r="V54">
        <v>0</v>
      </c>
      <c r="W54">
        <v>0</v>
      </c>
      <c r="X54">
        <v>1</v>
      </c>
      <c r="Y54">
        <v>0</v>
      </c>
      <c r="Z54">
        <v>2</v>
      </c>
      <c r="AA54">
        <v>0</v>
      </c>
      <c r="AB54">
        <v>0</v>
      </c>
      <c r="AC54">
        <v>3</v>
      </c>
      <c r="AD54">
        <v>7</v>
      </c>
      <c r="AE54">
        <v>7</v>
      </c>
      <c r="AF54">
        <v>1</v>
      </c>
      <c r="AG54">
        <v>0</v>
      </c>
      <c r="AH54">
        <v>3</v>
      </c>
      <c r="AI54">
        <v>2</v>
      </c>
      <c r="AJ54">
        <v>1</v>
      </c>
      <c r="AK54">
        <v>4</v>
      </c>
      <c r="AL54">
        <v>1</v>
      </c>
      <c r="AM54">
        <v>4</v>
      </c>
      <c r="AN54">
        <v>1</v>
      </c>
      <c r="AO54">
        <v>1</v>
      </c>
      <c r="AP54">
        <v>2</v>
      </c>
      <c r="AQ54">
        <v>3</v>
      </c>
      <c r="AR54">
        <v>0</v>
      </c>
      <c r="AS54">
        <v>1</v>
      </c>
      <c r="AT54">
        <v>1</v>
      </c>
      <c r="AU54">
        <v>2</v>
      </c>
      <c r="AV54">
        <v>20</v>
      </c>
      <c r="AW54">
        <v>1</v>
      </c>
      <c r="AX54">
        <v>0</v>
      </c>
      <c r="AY54">
        <v>7</v>
      </c>
      <c r="AZ54">
        <v>4</v>
      </c>
    </row>
    <row r="55" spans="1:52" ht="28.5" customHeight="1" x14ac:dyDescent="0.25">
      <c r="A55" s="1">
        <v>48</v>
      </c>
      <c r="B55">
        <v>5</v>
      </c>
      <c r="C55">
        <v>3</v>
      </c>
      <c r="D55">
        <v>2</v>
      </c>
      <c r="E55">
        <v>1</v>
      </c>
      <c r="F55">
        <v>4</v>
      </c>
      <c r="G55">
        <v>6</v>
      </c>
      <c r="H55">
        <v>7</v>
      </c>
      <c r="I55">
        <v>2</v>
      </c>
      <c r="J55">
        <v>0</v>
      </c>
      <c r="K55">
        <v>1</v>
      </c>
      <c r="L55">
        <v>1</v>
      </c>
      <c r="M55">
        <v>7</v>
      </c>
      <c r="N55">
        <v>13</v>
      </c>
      <c r="O55">
        <v>0</v>
      </c>
      <c r="P55">
        <v>0</v>
      </c>
      <c r="Q55">
        <v>11</v>
      </c>
      <c r="R55">
        <v>1</v>
      </c>
      <c r="S55">
        <v>3</v>
      </c>
      <c r="T55">
        <v>1</v>
      </c>
      <c r="U55">
        <v>1</v>
      </c>
      <c r="V55">
        <v>0</v>
      </c>
      <c r="W55">
        <v>1</v>
      </c>
      <c r="X55">
        <v>1</v>
      </c>
      <c r="Y55">
        <v>10</v>
      </c>
      <c r="Z55">
        <v>4</v>
      </c>
      <c r="AA55">
        <v>8</v>
      </c>
      <c r="AB55">
        <v>7</v>
      </c>
      <c r="AC55">
        <v>7</v>
      </c>
      <c r="AD55">
        <v>0</v>
      </c>
      <c r="AE55">
        <v>3</v>
      </c>
      <c r="AF55">
        <v>4</v>
      </c>
      <c r="AG55">
        <v>1</v>
      </c>
      <c r="AH55">
        <v>11</v>
      </c>
      <c r="AI55">
        <v>5</v>
      </c>
      <c r="AJ55">
        <v>5</v>
      </c>
      <c r="AK55">
        <v>3</v>
      </c>
      <c r="AL55">
        <v>0</v>
      </c>
      <c r="AM55">
        <v>2</v>
      </c>
      <c r="AN55">
        <v>5</v>
      </c>
      <c r="AO55">
        <v>3</v>
      </c>
      <c r="AP55">
        <v>2</v>
      </c>
      <c r="AQ55">
        <v>0</v>
      </c>
      <c r="AR55">
        <v>5</v>
      </c>
      <c r="AS55">
        <v>3</v>
      </c>
      <c r="AT55">
        <v>0</v>
      </c>
      <c r="AU55">
        <v>1</v>
      </c>
      <c r="AV55">
        <v>1</v>
      </c>
      <c r="AW55">
        <v>34</v>
      </c>
      <c r="AX55">
        <v>1</v>
      </c>
      <c r="AY55">
        <v>5</v>
      </c>
      <c r="AZ55">
        <v>3</v>
      </c>
    </row>
    <row r="56" spans="1:52" ht="28.5" customHeight="1" x14ac:dyDescent="0.25">
      <c r="A56" s="1">
        <v>49</v>
      </c>
      <c r="B56">
        <v>5</v>
      </c>
      <c r="C56">
        <v>2</v>
      </c>
      <c r="D56">
        <v>0</v>
      </c>
      <c r="E56">
        <v>3</v>
      </c>
      <c r="F56">
        <v>0</v>
      </c>
      <c r="G56">
        <v>0</v>
      </c>
      <c r="H56">
        <v>2</v>
      </c>
      <c r="I56">
        <v>2</v>
      </c>
      <c r="J56">
        <v>3</v>
      </c>
      <c r="K56">
        <v>1</v>
      </c>
      <c r="L56">
        <v>1</v>
      </c>
      <c r="M56">
        <v>5</v>
      </c>
      <c r="N56">
        <v>0</v>
      </c>
      <c r="O56">
        <v>2</v>
      </c>
      <c r="P56">
        <v>2</v>
      </c>
      <c r="Q56">
        <v>4</v>
      </c>
      <c r="R56">
        <v>1</v>
      </c>
      <c r="S56">
        <v>1</v>
      </c>
      <c r="T56">
        <v>1</v>
      </c>
      <c r="U56">
        <v>3</v>
      </c>
      <c r="V56">
        <v>0</v>
      </c>
      <c r="W56">
        <v>0</v>
      </c>
      <c r="X56">
        <v>1</v>
      </c>
      <c r="Y56">
        <v>2</v>
      </c>
      <c r="Z56">
        <v>0</v>
      </c>
      <c r="AA56">
        <v>5</v>
      </c>
      <c r="AB56">
        <v>2</v>
      </c>
      <c r="AC56">
        <v>2</v>
      </c>
      <c r="AD56">
        <v>7</v>
      </c>
      <c r="AE56">
        <v>1</v>
      </c>
      <c r="AF56">
        <v>2</v>
      </c>
      <c r="AG56">
        <v>1</v>
      </c>
      <c r="AH56">
        <v>3</v>
      </c>
      <c r="AI56">
        <v>3</v>
      </c>
      <c r="AJ56">
        <v>0</v>
      </c>
      <c r="AK56">
        <v>3</v>
      </c>
      <c r="AL56">
        <v>0</v>
      </c>
      <c r="AM56">
        <v>2</v>
      </c>
      <c r="AN56">
        <v>3</v>
      </c>
      <c r="AO56">
        <v>6</v>
      </c>
      <c r="AP56">
        <v>4</v>
      </c>
      <c r="AQ56">
        <v>1</v>
      </c>
      <c r="AR56">
        <v>0</v>
      </c>
      <c r="AS56">
        <v>1</v>
      </c>
      <c r="AT56">
        <v>0</v>
      </c>
      <c r="AU56">
        <v>6</v>
      </c>
      <c r="AV56">
        <v>0</v>
      </c>
      <c r="AW56">
        <v>1</v>
      </c>
      <c r="AX56">
        <v>20</v>
      </c>
      <c r="AY56">
        <v>4</v>
      </c>
      <c r="AZ56">
        <v>3</v>
      </c>
    </row>
    <row r="57" spans="1:52" ht="28.5" customHeight="1" x14ac:dyDescent="0.25">
      <c r="A57" s="1">
        <v>50</v>
      </c>
      <c r="B57">
        <v>9</v>
      </c>
      <c r="C57">
        <v>2</v>
      </c>
      <c r="D57">
        <v>13</v>
      </c>
      <c r="E57">
        <v>15</v>
      </c>
      <c r="F57">
        <v>14</v>
      </c>
      <c r="G57">
        <v>10</v>
      </c>
      <c r="H57">
        <v>6</v>
      </c>
      <c r="I57">
        <v>0</v>
      </c>
      <c r="J57">
        <v>25</v>
      </c>
      <c r="K57">
        <v>2</v>
      </c>
      <c r="L57">
        <v>2</v>
      </c>
      <c r="M57">
        <v>6</v>
      </c>
      <c r="N57">
        <v>9</v>
      </c>
      <c r="O57">
        <v>3</v>
      </c>
      <c r="P57">
        <v>3</v>
      </c>
      <c r="Q57">
        <v>8</v>
      </c>
      <c r="R57">
        <v>18</v>
      </c>
      <c r="S57">
        <v>6</v>
      </c>
      <c r="T57">
        <v>6</v>
      </c>
      <c r="U57">
        <v>5</v>
      </c>
      <c r="V57">
        <v>4</v>
      </c>
      <c r="W57">
        <v>3</v>
      </c>
      <c r="X57">
        <v>0</v>
      </c>
      <c r="Y57">
        <v>7</v>
      </c>
      <c r="Z57">
        <v>8</v>
      </c>
      <c r="AA57">
        <v>8</v>
      </c>
      <c r="AB57">
        <v>8</v>
      </c>
      <c r="AC57">
        <v>7</v>
      </c>
      <c r="AD57">
        <v>21</v>
      </c>
      <c r="AE57">
        <v>10</v>
      </c>
      <c r="AF57">
        <v>0</v>
      </c>
      <c r="AG57">
        <v>1</v>
      </c>
      <c r="AH57">
        <v>10</v>
      </c>
      <c r="AI57">
        <v>13</v>
      </c>
      <c r="AJ57">
        <v>0</v>
      </c>
      <c r="AK57">
        <v>8</v>
      </c>
      <c r="AL57">
        <v>3</v>
      </c>
      <c r="AM57">
        <v>5</v>
      </c>
      <c r="AN57">
        <v>8</v>
      </c>
      <c r="AO57">
        <v>13</v>
      </c>
      <c r="AP57">
        <v>16</v>
      </c>
      <c r="AQ57">
        <v>9</v>
      </c>
      <c r="AR57">
        <v>12</v>
      </c>
      <c r="AS57">
        <v>7</v>
      </c>
      <c r="AT57">
        <v>3</v>
      </c>
      <c r="AU57">
        <v>9</v>
      </c>
      <c r="AV57">
        <v>7</v>
      </c>
      <c r="AW57">
        <v>5</v>
      </c>
      <c r="AX57">
        <v>4</v>
      </c>
      <c r="AY57">
        <v>79</v>
      </c>
      <c r="AZ57">
        <v>5</v>
      </c>
    </row>
    <row r="58" spans="1:52" ht="28.5" customHeight="1" x14ac:dyDescent="0.25">
      <c r="A58" s="1">
        <v>51</v>
      </c>
      <c r="B58">
        <v>3</v>
      </c>
      <c r="C58">
        <v>1</v>
      </c>
      <c r="D58">
        <v>1</v>
      </c>
      <c r="E58">
        <v>2</v>
      </c>
      <c r="F58">
        <v>3</v>
      </c>
      <c r="G58">
        <v>7</v>
      </c>
      <c r="H58">
        <v>0</v>
      </c>
      <c r="I58">
        <v>5</v>
      </c>
      <c r="J58">
        <v>8</v>
      </c>
      <c r="K58">
        <v>7</v>
      </c>
      <c r="L58">
        <v>5</v>
      </c>
      <c r="M58">
        <v>4</v>
      </c>
      <c r="N58">
        <v>3</v>
      </c>
      <c r="O58">
        <v>4</v>
      </c>
      <c r="P58">
        <v>3</v>
      </c>
      <c r="Q58">
        <v>10</v>
      </c>
      <c r="R58">
        <v>5</v>
      </c>
      <c r="S58">
        <v>5</v>
      </c>
      <c r="T58">
        <v>3</v>
      </c>
      <c r="U58">
        <v>3</v>
      </c>
      <c r="V58">
        <v>0</v>
      </c>
      <c r="W58">
        <v>0</v>
      </c>
      <c r="X58">
        <v>2</v>
      </c>
      <c r="Y58">
        <v>1</v>
      </c>
      <c r="Z58">
        <v>0</v>
      </c>
      <c r="AA58">
        <v>1</v>
      </c>
      <c r="AB58">
        <v>6</v>
      </c>
      <c r="AC58">
        <v>3</v>
      </c>
      <c r="AD58">
        <v>6</v>
      </c>
      <c r="AE58">
        <v>7</v>
      </c>
      <c r="AF58">
        <v>8</v>
      </c>
      <c r="AG58">
        <v>0</v>
      </c>
      <c r="AH58">
        <v>2</v>
      </c>
      <c r="AI58">
        <v>1</v>
      </c>
      <c r="AJ58">
        <v>1</v>
      </c>
      <c r="AK58">
        <v>4</v>
      </c>
      <c r="AL58">
        <v>1</v>
      </c>
      <c r="AM58">
        <v>6</v>
      </c>
      <c r="AN58">
        <v>0</v>
      </c>
      <c r="AO58">
        <v>7</v>
      </c>
      <c r="AP58">
        <v>2</v>
      </c>
      <c r="AQ58">
        <v>4</v>
      </c>
      <c r="AR58">
        <v>9</v>
      </c>
      <c r="AS58">
        <v>2</v>
      </c>
      <c r="AT58">
        <v>7</v>
      </c>
      <c r="AU58">
        <v>2</v>
      </c>
      <c r="AV58">
        <v>4</v>
      </c>
      <c r="AW58">
        <v>3</v>
      </c>
      <c r="AX58">
        <v>3</v>
      </c>
      <c r="AY58">
        <v>5</v>
      </c>
      <c r="AZ58">
        <v>37</v>
      </c>
    </row>
    <row r="59" spans="1:52" ht="28.5" customHeight="1" x14ac:dyDescent="0.25">
      <c r="A59" s="1">
        <v>52</v>
      </c>
    </row>
    <row r="60" spans="1:52" ht="28.5" customHeight="1" x14ac:dyDescent="0.25">
      <c r="A60" s="1">
        <v>53</v>
      </c>
    </row>
    <row r="61" spans="1:52" ht="28.5" customHeight="1" x14ac:dyDescent="0.25">
      <c r="A61" s="1">
        <v>54</v>
      </c>
    </row>
    <row r="62" spans="1:52" ht="28.5" customHeight="1" x14ac:dyDescent="0.25">
      <c r="A62" s="1">
        <v>55</v>
      </c>
    </row>
    <row r="63" spans="1:52" ht="28.5" customHeight="1" x14ac:dyDescent="0.25">
      <c r="A63" s="1">
        <v>56</v>
      </c>
    </row>
    <row r="64" spans="1:52" ht="28.5" customHeight="1" x14ac:dyDescent="0.25">
      <c r="A64" s="1">
        <v>57</v>
      </c>
    </row>
    <row r="65" spans="1:1" ht="28.5" customHeight="1" x14ac:dyDescent="0.25">
      <c r="A65" s="1">
        <v>58</v>
      </c>
    </row>
    <row r="66" spans="1:1" ht="28.5" customHeight="1" x14ac:dyDescent="0.25">
      <c r="A66" s="1">
        <v>59</v>
      </c>
    </row>
    <row r="67" spans="1:1" ht="28.5" customHeight="1" x14ac:dyDescent="0.25">
      <c r="A67" s="1">
        <v>60</v>
      </c>
    </row>
    <row r="68" spans="1:1" ht="28.5" customHeight="1" x14ac:dyDescent="0.25">
      <c r="A68" s="1">
        <v>61</v>
      </c>
    </row>
    <row r="69" spans="1:1" ht="28.5" customHeight="1" x14ac:dyDescent="0.25">
      <c r="A69" s="1">
        <v>62</v>
      </c>
    </row>
    <row r="70" spans="1:1" ht="28.5" customHeight="1" x14ac:dyDescent="0.25">
      <c r="A70" s="1">
        <v>63</v>
      </c>
    </row>
    <row r="71" spans="1:1" ht="28.5" customHeight="1" x14ac:dyDescent="0.25">
      <c r="A71" s="1">
        <v>64</v>
      </c>
    </row>
    <row r="72" spans="1:1" ht="28.5" customHeight="1" x14ac:dyDescent="0.25">
      <c r="A72" s="1">
        <v>65</v>
      </c>
    </row>
    <row r="73" spans="1:1" ht="28.5" customHeight="1" x14ac:dyDescent="0.25">
      <c r="A73" s="1">
        <v>66</v>
      </c>
    </row>
    <row r="74" spans="1:1" ht="28.5" customHeight="1" x14ac:dyDescent="0.25">
      <c r="A74" s="1">
        <v>67</v>
      </c>
    </row>
    <row r="75" spans="1:1" ht="28.5" customHeight="1" x14ac:dyDescent="0.25">
      <c r="A75" s="1">
        <v>68</v>
      </c>
    </row>
    <row r="76" spans="1:1" ht="28.5" customHeight="1" x14ac:dyDescent="0.25">
      <c r="A76" s="1">
        <v>69</v>
      </c>
    </row>
    <row r="77" spans="1:1" ht="28.5" customHeight="1" x14ac:dyDescent="0.25">
      <c r="A77" s="1">
        <v>70</v>
      </c>
    </row>
  </sheetData>
  <conditionalFormatting sqref="B8:AZ8">
    <cfRule type="top10" dxfId="192" priority="191" rank="1"/>
  </conditionalFormatting>
  <conditionalFormatting sqref="B9:AZ9">
    <cfRule type="top10" dxfId="191" priority="190" rank="1"/>
  </conditionalFormatting>
  <conditionalFormatting sqref="B10:AZ10">
    <cfRule type="top10" dxfId="190" priority="189" rank="1"/>
  </conditionalFormatting>
  <conditionalFormatting sqref="B11:AZ11">
    <cfRule type="top10" dxfId="189" priority="188" rank="1"/>
  </conditionalFormatting>
  <conditionalFormatting sqref="B12:AZ12">
    <cfRule type="top10" dxfId="188" priority="187" rank="1"/>
  </conditionalFormatting>
  <conditionalFormatting sqref="B13:AZ13">
    <cfRule type="top10" dxfId="187" priority="186" rank="1"/>
  </conditionalFormatting>
  <conditionalFormatting sqref="B14:AZ14">
    <cfRule type="top10" dxfId="186" priority="185" rank="1"/>
  </conditionalFormatting>
  <conditionalFormatting sqref="B15:AZ15">
    <cfRule type="top10" dxfId="185" priority="184" rank="1"/>
  </conditionalFormatting>
  <conditionalFormatting sqref="B16:AZ16">
    <cfRule type="top10" dxfId="184" priority="183" rank="1"/>
  </conditionalFormatting>
  <conditionalFormatting sqref="B17:AZ17">
    <cfRule type="top10" dxfId="183" priority="182" rank="1"/>
  </conditionalFormatting>
  <conditionalFormatting sqref="B18:AZ18">
    <cfRule type="top10" dxfId="182" priority="181" rank="1"/>
  </conditionalFormatting>
  <conditionalFormatting sqref="B19:AZ19">
    <cfRule type="top10" dxfId="181" priority="180" rank="1"/>
  </conditionalFormatting>
  <conditionalFormatting sqref="B20:AZ20">
    <cfRule type="top10" dxfId="180" priority="179" rank="1"/>
  </conditionalFormatting>
  <conditionalFormatting sqref="B21:AZ21">
    <cfRule type="top10" dxfId="179" priority="178" rank="1"/>
  </conditionalFormatting>
  <conditionalFormatting sqref="B22:AZ22">
    <cfRule type="top10" dxfId="178" priority="177" rank="1"/>
  </conditionalFormatting>
  <conditionalFormatting sqref="B23:AZ23">
    <cfRule type="top10" dxfId="177" priority="176" rank="1"/>
  </conditionalFormatting>
  <conditionalFormatting sqref="B24:AZ24">
    <cfRule type="top10" dxfId="176" priority="175" rank="1"/>
  </conditionalFormatting>
  <conditionalFormatting sqref="B25:AZ25">
    <cfRule type="top10" dxfId="175" priority="174" rank="1"/>
  </conditionalFormatting>
  <conditionalFormatting sqref="B26:AZ26">
    <cfRule type="top10" dxfId="174" priority="173" rank="1"/>
  </conditionalFormatting>
  <conditionalFormatting sqref="B27:AZ27">
    <cfRule type="top10" dxfId="173" priority="172" rank="1"/>
  </conditionalFormatting>
  <conditionalFormatting sqref="B28:AZ28">
    <cfRule type="top10" dxfId="172" priority="171" rank="1"/>
  </conditionalFormatting>
  <conditionalFormatting sqref="B29:AZ29">
    <cfRule type="top10" dxfId="171" priority="170" rank="1"/>
  </conditionalFormatting>
  <conditionalFormatting sqref="B30:AZ30">
    <cfRule type="top10" dxfId="170" priority="169" rank="1"/>
  </conditionalFormatting>
  <conditionalFormatting sqref="B31:AZ31">
    <cfRule type="top10" dxfId="169" priority="168" rank="1"/>
  </conditionalFormatting>
  <conditionalFormatting sqref="B32:AZ32">
    <cfRule type="top10" dxfId="168" priority="167" rank="1"/>
  </conditionalFormatting>
  <conditionalFormatting sqref="B33:AZ33">
    <cfRule type="top10" dxfId="167" priority="166" rank="1"/>
  </conditionalFormatting>
  <conditionalFormatting sqref="B34:AZ34">
    <cfRule type="top10" dxfId="166" priority="165" rank="1"/>
  </conditionalFormatting>
  <conditionalFormatting sqref="B35:AZ35">
    <cfRule type="top10" dxfId="165" priority="164" rank="1"/>
  </conditionalFormatting>
  <conditionalFormatting sqref="B36:AZ36">
    <cfRule type="top10" dxfId="164" priority="163" rank="1"/>
  </conditionalFormatting>
  <conditionalFormatting sqref="B37:AZ37">
    <cfRule type="top10" dxfId="163" priority="162" rank="1"/>
  </conditionalFormatting>
  <conditionalFormatting sqref="B38:AZ38">
    <cfRule type="top10" dxfId="162" priority="161" rank="1"/>
  </conditionalFormatting>
  <conditionalFormatting sqref="B39:AZ39">
    <cfRule type="top10" dxfId="161" priority="160" rank="1"/>
  </conditionalFormatting>
  <conditionalFormatting sqref="B40:AZ40">
    <cfRule type="top10" dxfId="160" priority="159" rank="1"/>
  </conditionalFormatting>
  <conditionalFormatting sqref="B41:AZ41">
    <cfRule type="top10" dxfId="159" priority="158" rank="1"/>
  </conditionalFormatting>
  <conditionalFormatting sqref="B42:AZ42">
    <cfRule type="top10" dxfId="158" priority="157" rank="1"/>
  </conditionalFormatting>
  <conditionalFormatting sqref="B43:AZ43">
    <cfRule type="top10" dxfId="157" priority="156" rank="1"/>
  </conditionalFormatting>
  <conditionalFormatting sqref="B44:AZ44">
    <cfRule type="top10" dxfId="156" priority="155" rank="1"/>
  </conditionalFormatting>
  <conditionalFormatting sqref="B45:AZ45">
    <cfRule type="top10" dxfId="155" priority="154" rank="1"/>
  </conditionalFormatting>
  <conditionalFormatting sqref="B46:AZ46">
    <cfRule type="top10" dxfId="154" priority="153" rank="1"/>
  </conditionalFormatting>
  <conditionalFormatting sqref="B47:AZ47">
    <cfRule type="top10" dxfId="153" priority="152" rank="1"/>
  </conditionalFormatting>
  <conditionalFormatting sqref="B48:AZ48">
    <cfRule type="top10" dxfId="152" priority="151" rank="1"/>
  </conditionalFormatting>
  <conditionalFormatting sqref="B49:AZ49">
    <cfRule type="top10" dxfId="151" priority="150" rank="1"/>
  </conditionalFormatting>
  <conditionalFormatting sqref="B50:AZ50">
    <cfRule type="top10" dxfId="150" priority="149" rank="1"/>
  </conditionalFormatting>
  <conditionalFormatting sqref="B51:AZ51">
    <cfRule type="top10" dxfId="149" priority="148" rank="1"/>
  </conditionalFormatting>
  <conditionalFormatting sqref="B52:AZ52">
    <cfRule type="top10" dxfId="148" priority="147" rank="1"/>
  </conditionalFormatting>
  <conditionalFormatting sqref="B53:AZ53">
    <cfRule type="top10" dxfId="147" priority="146" rank="1"/>
  </conditionalFormatting>
  <conditionalFormatting sqref="B54:AZ54">
    <cfRule type="top10" dxfId="146" priority="145" rank="1"/>
  </conditionalFormatting>
  <conditionalFormatting sqref="B55:AZ55">
    <cfRule type="top10" dxfId="145" priority="144" rank="1"/>
  </conditionalFormatting>
  <conditionalFormatting sqref="B56:AZ56">
    <cfRule type="top10" dxfId="144" priority="143" rank="1"/>
  </conditionalFormatting>
  <conditionalFormatting sqref="B57:AZ57">
    <cfRule type="top10" dxfId="143" priority="142" rank="1"/>
  </conditionalFormatting>
  <conditionalFormatting sqref="B58:AZ58">
    <cfRule type="top10" dxfId="142" priority="141" rank="1"/>
  </conditionalFormatting>
  <conditionalFormatting sqref="B8:XFD8">
    <cfRule type="top10" dxfId="141" priority="70" rank="1"/>
    <cfRule type="top10" dxfId="140" priority="140" rank="1"/>
  </conditionalFormatting>
  <conditionalFormatting sqref="B9:XFD9">
    <cfRule type="top10" dxfId="139" priority="69" rank="1"/>
    <cfRule type="top10" dxfId="138" priority="139" rank="1"/>
  </conditionalFormatting>
  <conditionalFormatting sqref="B10:XFD10">
    <cfRule type="top10" dxfId="137" priority="68" rank="1"/>
    <cfRule type="top10" dxfId="136" priority="138" rank="1"/>
  </conditionalFormatting>
  <conditionalFormatting sqref="B11:XFD11">
    <cfRule type="top10" dxfId="135" priority="67" rank="1"/>
    <cfRule type="top10" dxfId="134" priority="137" rank="1"/>
  </conditionalFormatting>
  <conditionalFormatting sqref="B12:XFD12">
    <cfRule type="top10" dxfId="133" priority="66" rank="1"/>
    <cfRule type="top10" dxfId="132" priority="136" rank="1"/>
  </conditionalFormatting>
  <conditionalFormatting sqref="B13:XFD13">
    <cfRule type="top10" dxfId="131" priority="65" rank="1"/>
    <cfRule type="top10" dxfId="130" priority="135" rank="1"/>
  </conditionalFormatting>
  <conditionalFormatting sqref="B14:XFD14">
    <cfRule type="top10" dxfId="129" priority="64" rank="1"/>
    <cfRule type="top10" dxfId="128" priority="134" rank="1"/>
  </conditionalFormatting>
  <conditionalFormatting sqref="B15:XFD15">
    <cfRule type="top10" dxfId="127" priority="63" rank="1"/>
    <cfRule type="top10" dxfId="126" priority="133" rank="1"/>
  </conditionalFormatting>
  <conditionalFormatting sqref="B16:XFD16">
    <cfRule type="top10" dxfId="125" priority="62" rank="1"/>
    <cfRule type="top10" dxfId="124" priority="132" rank="1"/>
  </conditionalFormatting>
  <conditionalFormatting sqref="B17:XFD17">
    <cfRule type="top10" dxfId="123" priority="131" rank="1"/>
  </conditionalFormatting>
  <conditionalFormatting sqref="B18:XFD18">
    <cfRule type="top10" dxfId="122" priority="130" rank="1"/>
  </conditionalFormatting>
  <conditionalFormatting sqref="B19:XFD19">
    <cfRule type="top10" dxfId="121" priority="129" rank="1"/>
  </conditionalFormatting>
  <conditionalFormatting sqref="B20:XFD20">
    <cfRule type="top10" dxfId="120" priority="128" rank="1"/>
  </conditionalFormatting>
  <conditionalFormatting sqref="B21:XFD21">
    <cfRule type="top10" dxfId="119" priority="127" rank="1"/>
  </conditionalFormatting>
  <conditionalFormatting sqref="B22:XFD22">
    <cfRule type="top10" dxfId="118" priority="126" rank="1"/>
  </conditionalFormatting>
  <conditionalFormatting sqref="B23:XFD23">
    <cfRule type="top10" dxfId="117" priority="125" rank="1"/>
  </conditionalFormatting>
  <conditionalFormatting sqref="B24:XFD24">
    <cfRule type="top10" dxfId="116" priority="124" rank="1"/>
  </conditionalFormatting>
  <conditionalFormatting sqref="B25:XFD25">
    <cfRule type="top10" dxfId="115" priority="123" rank="1"/>
  </conditionalFormatting>
  <conditionalFormatting sqref="B26:XFD26">
    <cfRule type="top10" dxfId="114" priority="122" rank="1"/>
  </conditionalFormatting>
  <conditionalFormatting sqref="B27:XFD27">
    <cfRule type="top10" dxfId="113" priority="121" rank="1"/>
  </conditionalFormatting>
  <conditionalFormatting sqref="B28:XFD28">
    <cfRule type="top10" dxfId="112" priority="120" rank="1"/>
  </conditionalFormatting>
  <conditionalFormatting sqref="B29:XFD29">
    <cfRule type="top10" dxfId="111" priority="119" rank="1"/>
  </conditionalFormatting>
  <conditionalFormatting sqref="B30:XFD30">
    <cfRule type="top10" dxfId="110" priority="118" rank="1"/>
  </conditionalFormatting>
  <conditionalFormatting sqref="B31:XFD31">
    <cfRule type="top10" dxfId="109" priority="117" rank="1"/>
  </conditionalFormatting>
  <conditionalFormatting sqref="B32:XFD32">
    <cfRule type="top10" dxfId="108" priority="116" rank="1"/>
  </conditionalFormatting>
  <conditionalFormatting sqref="B33:XFD33">
    <cfRule type="top10" dxfId="107" priority="115" rank="1"/>
  </conditionalFormatting>
  <conditionalFormatting sqref="B34:XFD34">
    <cfRule type="top10" dxfId="106" priority="114" rank="1"/>
  </conditionalFormatting>
  <conditionalFormatting sqref="B35:XFD35">
    <cfRule type="top10" dxfId="105" priority="113" rank="1"/>
  </conditionalFormatting>
  <conditionalFormatting sqref="B36:XFD36">
    <cfRule type="top10" dxfId="104" priority="112" rank="1"/>
  </conditionalFormatting>
  <conditionalFormatting sqref="B37:XFD37">
    <cfRule type="top10" dxfId="103" priority="111" rank="1"/>
  </conditionalFormatting>
  <conditionalFormatting sqref="B38:XFD38">
    <cfRule type="top10" dxfId="102" priority="110" rank="1"/>
  </conditionalFormatting>
  <conditionalFormatting sqref="B39:XFD39">
    <cfRule type="top10" dxfId="101" priority="109" rank="1"/>
  </conditionalFormatting>
  <conditionalFormatting sqref="B40:XFD40">
    <cfRule type="top10" dxfId="100" priority="108" rank="1"/>
  </conditionalFormatting>
  <conditionalFormatting sqref="B41:XFD41">
    <cfRule type="top10" dxfId="99" priority="107" rank="1"/>
  </conditionalFormatting>
  <conditionalFormatting sqref="B42:XFD42">
    <cfRule type="top10" dxfId="98" priority="106" rank="1"/>
  </conditionalFormatting>
  <conditionalFormatting sqref="B43:XFD43">
    <cfRule type="top10" dxfId="97" priority="105" rank="1"/>
  </conditionalFormatting>
  <conditionalFormatting sqref="B44:XFD44">
    <cfRule type="top10" dxfId="96" priority="104" rank="1"/>
  </conditionalFormatting>
  <conditionalFormatting sqref="B45:XFD45">
    <cfRule type="top10" dxfId="95" priority="103" rank="1"/>
  </conditionalFormatting>
  <conditionalFormatting sqref="B46:XFD46">
    <cfRule type="top10" dxfId="94" priority="102" rank="1"/>
  </conditionalFormatting>
  <conditionalFormatting sqref="B47:XFD47">
    <cfRule type="top10" dxfId="93" priority="101" rank="1"/>
  </conditionalFormatting>
  <conditionalFormatting sqref="B48:XFD48">
    <cfRule type="top10" dxfId="92" priority="100" rank="1"/>
  </conditionalFormatting>
  <conditionalFormatting sqref="B49:XFD49">
    <cfRule type="top10" dxfId="91" priority="99" rank="1"/>
  </conditionalFormatting>
  <conditionalFormatting sqref="B50:XFD50">
    <cfRule type="top10" dxfId="90" priority="98" rank="1"/>
  </conditionalFormatting>
  <conditionalFormatting sqref="B51:XFD51">
    <cfRule type="top10" dxfId="89" priority="97" rank="1"/>
  </conditionalFormatting>
  <conditionalFormatting sqref="B52:XFD52">
    <cfRule type="top10" dxfId="88" priority="96" rank="1"/>
  </conditionalFormatting>
  <conditionalFormatting sqref="B53:XFD53">
    <cfRule type="top10" dxfId="87" priority="95" rank="1"/>
  </conditionalFormatting>
  <conditionalFormatting sqref="B54:XFD54">
    <cfRule type="top10" dxfId="86" priority="94" rank="1"/>
  </conditionalFormatting>
  <conditionalFormatting sqref="B55:XFD55">
    <cfRule type="top10" dxfId="85" priority="93" rank="1"/>
  </conditionalFormatting>
  <conditionalFormatting sqref="B56:XFD56">
    <cfRule type="top10" dxfId="84" priority="92" rank="1"/>
  </conditionalFormatting>
  <conditionalFormatting sqref="B57:XFD57">
    <cfRule type="top10" dxfId="83" priority="91" rank="1"/>
  </conditionalFormatting>
  <conditionalFormatting sqref="B58:XFD58">
    <cfRule type="top10" dxfId="82" priority="90" rank="1"/>
  </conditionalFormatting>
  <conditionalFormatting sqref="B59:XFD59">
    <cfRule type="top10" dxfId="81" priority="89" rank="1"/>
  </conditionalFormatting>
  <conditionalFormatting sqref="B60:XFD60">
    <cfRule type="top10" dxfId="80" priority="88" rank="1"/>
  </conditionalFormatting>
  <conditionalFormatting sqref="B61:XFD61">
    <cfRule type="top10" dxfId="79" priority="87" rank="1"/>
  </conditionalFormatting>
  <conditionalFormatting sqref="B62:XFD62">
    <cfRule type="top10" dxfId="78" priority="86" rank="1"/>
  </conditionalFormatting>
  <conditionalFormatting sqref="B63:XFD63">
    <cfRule type="top10" dxfId="77" priority="85" rank="1"/>
  </conditionalFormatting>
  <conditionalFormatting sqref="B64:XFD64">
    <cfRule type="top10" dxfId="76" priority="84" rank="1"/>
  </conditionalFormatting>
  <conditionalFormatting sqref="B65:XFD65">
    <cfRule type="top10" dxfId="75" priority="83" rank="1"/>
  </conditionalFormatting>
  <conditionalFormatting sqref="B66:XFD66">
    <cfRule type="top10" dxfId="74" priority="82" rank="1"/>
  </conditionalFormatting>
  <conditionalFormatting sqref="B67:XFD67">
    <cfRule type="top10" dxfId="73" priority="81" rank="1"/>
  </conditionalFormatting>
  <conditionalFormatting sqref="B68:XFD68">
    <cfRule type="top10" dxfId="72" priority="80" rank="1"/>
  </conditionalFormatting>
  <conditionalFormatting sqref="B69:XFD69">
    <cfRule type="top10" dxfId="71" priority="79" rank="1"/>
  </conditionalFormatting>
  <conditionalFormatting sqref="B70:XFD70">
    <cfRule type="top10" dxfId="70" priority="78" rank="1"/>
  </conditionalFormatting>
  <conditionalFormatting sqref="B71:XFD71">
    <cfRule type="top10" dxfId="69" priority="77" rank="1"/>
  </conditionalFormatting>
  <conditionalFormatting sqref="B72:XFD72">
    <cfRule type="top10" dxfId="68" priority="76" rank="1"/>
  </conditionalFormatting>
  <conditionalFormatting sqref="B73:XFD73">
    <cfRule type="top10" dxfId="67" priority="75" rank="1"/>
  </conditionalFormatting>
  <conditionalFormatting sqref="B74:XFD74">
    <cfRule type="top10" dxfId="66" priority="74" rank="1"/>
  </conditionalFormatting>
  <conditionalFormatting sqref="B75:XFD75">
    <cfRule type="top10" dxfId="65" priority="73" rank="1"/>
  </conditionalFormatting>
  <conditionalFormatting sqref="B76:XFD76">
    <cfRule type="top10" dxfId="64" priority="72" rank="1"/>
  </conditionalFormatting>
  <conditionalFormatting sqref="B77:XFD77">
    <cfRule type="top10" dxfId="63" priority="71" rank="1"/>
  </conditionalFormatting>
  <conditionalFormatting sqref="B17:XFD17">
    <cfRule type="top10" dxfId="62" priority="61" rank="1"/>
  </conditionalFormatting>
  <conditionalFormatting sqref="B18:XFD18">
    <cfRule type="top10" dxfId="61" priority="60" rank="1"/>
  </conditionalFormatting>
  <conditionalFormatting sqref="B19:XFD19">
    <cfRule type="top10" dxfId="60" priority="59" rank="1"/>
  </conditionalFormatting>
  <conditionalFormatting sqref="B20:XFD20">
    <cfRule type="top10" dxfId="59" priority="58" rank="1"/>
  </conditionalFormatting>
  <conditionalFormatting sqref="B21:XFD21">
    <cfRule type="top10" dxfId="58" priority="57" rank="1"/>
  </conditionalFormatting>
  <conditionalFormatting sqref="B22:XFD22">
    <cfRule type="top10" dxfId="57" priority="56" rank="1"/>
  </conditionalFormatting>
  <conditionalFormatting sqref="B23:XFD23">
    <cfRule type="top10" dxfId="56" priority="55" rank="1"/>
  </conditionalFormatting>
  <conditionalFormatting sqref="B24:XFD24">
    <cfRule type="top10" dxfId="55" priority="54" rank="1"/>
  </conditionalFormatting>
  <conditionalFormatting sqref="B25:XFD25">
    <cfRule type="top10" dxfId="54" priority="53" rank="1"/>
  </conditionalFormatting>
  <conditionalFormatting sqref="B26:XFD26">
    <cfRule type="top10" dxfId="53" priority="52" rank="1"/>
  </conditionalFormatting>
  <conditionalFormatting sqref="B27:XFD27">
    <cfRule type="top10" dxfId="52" priority="51" rank="1"/>
  </conditionalFormatting>
  <conditionalFormatting sqref="B28:XFD28">
    <cfRule type="top10" dxfId="51" priority="50" rank="1"/>
  </conditionalFormatting>
  <conditionalFormatting sqref="B29:XFD29">
    <cfRule type="top10" dxfId="50" priority="49" rank="1"/>
  </conditionalFormatting>
  <conditionalFormatting sqref="B30:XFD30">
    <cfRule type="top10" dxfId="49" priority="48" rank="1"/>
  </conditionalFormatting>
  <conditionalFormatting sqref="B31:XFD31">
    <cfRule type="top10" dxfId="48" priority="47" rank="1"/>
  </conditionalFormatting>
  <conditionalFormatting sqref="B32:XFD32">
    <cfRule type="top10" dxfId="47" priority="46" rank="1"/>
  </conditionalFormatting>
  <conditionalFormatting sqref="B33:XFD33">
    <cfRule type="top10" dxfId="46" priority="45" rank="1"/>
  </conditionalFormatting>
  <conditionalFormatting sqref="B34:XFD34">
    <cfRule type="top10" dxfId="45" priority="44" rank="1"/>
  </conditionalFormatting>
  <conditionalFormatting sqref="B35:XFD35">
    <cfRule type="top10" dxfId="44" priority="43" rank="1"/>
  </conditionalFormatting>
  <conditionalFormatting sqref="B36:XFD36">
    <cfRule type="top10" dxfId="43" priority="42" rank="1"/>
  </conditionalFormatting>
  <conditionalFormatting sqref="B37:XFD37">
    <cfRule type="top10" dxfId="42" priority="41" rank="1"/>
  </conditionalFormatting>
  <conditionalFormatting sqref="B38:XFD38">
    <cfRule type="top10" dxfId="41" priority="40" rank="1"/>
  </conditionalFormatting>
  <conditionalFormatting sqref="B39:XFD39">
    <cfRule type="top10" dxfId="40" priority="39" rank="1"/>
  </conditionalFormatting>
  <conditionalFormatting sqref="B40:XFD40">
    <cfRule type="top10" dxfId="39" priority="38" rank="1"/>
  </conditionalFormatting>
  <conditionalFormatting sqref="B41:XFD41">
    <cfRule type="top10" dxfId="38" priority="37" rank="1"/>
  </conditionalFormatting>
  <conditionalFormatting sqref="B42:XFD42">
    <cfRule type="top10" dxfId="37" priority="36" rank="1"/>
  </conditionalFormatting>
  <conditionalFormatting sqref="B43:XFD43">
    <cfRule type="top10" dxfId="36" priority="35" rank="1"/>
  </conditionalFormatting>
  <conditionalFormatting sqref="B44:XFD44">
    <cfRule type="top10" dxfId="35" priority="34" rank="1"/>
  </conditionalFormatting>
  <conditionalFormatting sqref="B45:XFD45">
    <cfRule type="top10" dxfId="34" priority="33" rank="1"/>
  </conditionalFormatting>
  <conditionalFormatting sqref="B46:XFD46">
    <cfRule type="top10" dxfId="33" priority="32" rank="1"/>
  </conditionalFormatting>
  <conditionalFormatting sqref="B47:XFD47">
    <cfRule type="top10" dxfId="32" priority="31" rank="1"/>
  </conditionalFormatting>
  <conditionalFormatting sqref="B48:XFD48">
    <cfRule type="top10" dxfId="31" priority="30" rank="1"/>
  </conditionalFormatting>
  <conditionalFormatting sqref="B49:XFD49">
    <cfRule type="top10" dxfId="30" priority="29" rank="1"/>
  </conditionalFormatting>
  <conditionalFormatting sqref="B50:XFD50">
    <cfRule type="top10" dxfId="29" priority="28" rank="1"/>
  </conditionalFormatting>
  <conditionalFormatting sqref="B51:XFD51">
    <cfRule type="top10" dxfId="28" priority="27" rank="1"/>
  </conditionalFormatting>
  <conditionalFormatting sqref="B52:XFD52">
    <cfRule type="top10" dxfId="27" priority="26" rank="1"/>
  </conditionalFormatting>
  <conditionalFormatting sqref="B53:XFD53">
    <cfRule type="top10" dxfId="26" priority="25" rank="1"/>
  </conditionalFormatting>
  <conditionalFormatting sqref="B54:XFD54">
    <cfRule type="top10" dxfId="25" priority="24" rank="1"/>
  </conditionalFormatting>
  <conditionalFormatting sqref="B55:XFD55">
    <cfRule type="top10" dxfId="24" priority="23" rank="1"/>
  </conditionalFormatting>
  <conditionalFormatting sqref="B56:XFD56">
    <cfRule type="top10" dxfId="23" priority="22" rank="1"/>
  </conditionalFormatting>
  <conditionalFormatting sqref="B57:XFD57">
    <cfRule type="top10" dxfId="22" priority="21" rank="1"/>
  </conditionalFormatting>
  <conditionalFormatting sqref="B58:XFD58">
    <cfRule type="top10" dxfId="21" priority="20" rank="1"/>
  </conditionalFormatting>
  <conditionalFormatting sqref="B59:XFD59">
    <cfRule type="top10" dxfId="20" priority="19" rank="1"/>
  </conditionalFormatting>
  <conditionalFormatting sqref="B60:XFD60">
    <cfRule type="top10" dxfId="19" priority="18" rank="1"/>
  </conditionalFormatting>
  <conditionalFormatting sqref="B61:XFD61">
    <cfRule type="top10" dxfId="18" priority="17" rank="1"/>
  </conditionalFormatting>
  <conditionalFormatting sqref="B62:XFD62">
    <cfRule type="top10" dxfId="17" priority="16" rank="1"/>
  </conditionalFormatting>
  <conditionalFormatting sqref="B63:XFD63">
    <cfRule type="top10" dxfId="16" priority="15" rank="1"/>
  </conditionalFormatting>
  <conditionalFormatting sqref="B64:XFD64">
    <cfRule type="top10" dxfId="15" priority="14" rank="1"/>
  </conditionalFormatting>
  <conditionalFormatting sqref="B65:XFD65">
    <cfRule type="top10" dxfId="14" priority="13" rank="1"/>
  </conditionalFormatting>
  <conditionalFormatting sqref="B66:XFD66">
    <cfRule type="top10" dxfId="13" priority="12" rank="1"/>
  </conditionalFormatting>
  <conditionalFormatting sqref="B67:XFD67">
    <cfRule type="top10" dxfId="12" priority="11" rank="1"/>
  </conditionalFormatting>
  <conditionalFormatting sqref="B68:XFD68">
    <cfRule type="top10" dxfId="11" priority="10" rank="1"/>
  </conditionalFormatting>
  <conditionalFormatting sqref="B69:XFD69">
    <cfRule type="top10" dxfId="10" priority="9" rank="1"/>
  </conditionalFormatting>
  <conditionalFormatting sqref="B70:XFD70">
    <cfRule type="top10" dxfId="9" priority="8" rank="1"/>
  </conditionalFormatting>
  <conditionalFormatting sqref="B71:XFD71">
    <cfRule type="top10" dxfId="8" priority="7" rank="1"/>
  </conditionalFormatting>
  <conditionalFormatting sqref="B72:XFD72">
    <cfRule type="top10" dxfId="7" priority="6" rank="1"/>
  </conditionalFormatting>
  <conditionalFormatting sqref="B73:XFD73">
    <cfRule type="top10" dxfId="6" priority="5" rank="1"/>
  </conditionalFormatting>
  <conditionalFormatting sqref="B74:XFD74">
    <cfRule type="top10" dxfId="5" priority="4" rank="1"/>
  </conditionalFormatting>
  <conditionalFormatting sqref="B75:XFD75">
    <cfRule type="top10" dxfId="4" priority="3" rank="1"/>
  </conditionalFormatting>
  <conditionalFormatting sqref="B76:XFD76">
    <cfRule type="top10" dxfId="3" priority="2" rank="1"/>
  </conditionalFormatting>
  <conditionalFormatting sqref="B77:XFD77">
    <cfRule type="top10" dxfId="2" priority="1" rank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4" r:id="rId3" name="PopulateProfs">
          <controlPr defaultSize="0" autoLine="0" r:id="rId4">
            <anchor moveWithCells="1">
              <from>
                <xdr:col>24</xdr:col>
                <xdr:colOff>295275</xdr:colOff>
                <xdr:row>2</xdr:row>
                <xdr:rowOff>19050</xdr:rowOff>
              </from>
              <to>
                <xdr:col>30</xdr:col>
                <xdr:colOff>123825</xdr:colOff>
                <xdr:row>2</xdr:row>
                <xdr:rowOff>314325</xdr:rowOff>
              </to>
            </anchor>
          </controlPr>
        </control>
      </mc:Choice>
      <mc:Fallback>
        <control shapeId="1044" r:id="rId3" name="PopulateProfs"/>
      </mc:Fallback>
    </mc:AlternateContent>
    <mc:AlternateContent xmlns:mc="http://schemas.openxmlformats.org/markup-compatibility/2006">
      <mc:Choice Requires="x14">
        <control shapeId="1041" r:id="rId5" name="AutoHighlight">
          <controlPr defaultSize="0" autoLine="0" autoPict="0" r:id="rId6">
            <anchor moveWithCells="1">
              <from>
                <xdr:col>24</xdr:col>
                <xdr:colOff>285750</xdr:colOff>
                <xdr:row>0</xdr:row>
                <xdr:rowOff>38100</xdr:rowOff>
              </from>
              <to>
                <xdr:col>28</xdr:col>
                <xdr:colOff>352425</xdr:colOff>
                <xdr:row>1</xdr:row>
                <xdr:rowOff>47625</xdr:rowOff>
              </to>
            </anchor>
          </controlPr>
        </control>
      </mc:Choice>
      <mc:Fallback>
        <control shapeId="1041" r:id="rId5" name="AutoHighlight"/>
      </mc:Fallback>
    </mc:AlternateContent>
    <mc:AlternateContent xmlns:mc="http://schemas.openxmlformats.org/markup-compatibility/2006">
      <mc:Choice Requires="x14">
        <control shapeId="1042" r:id="rId7" name="PopulateOverLaps">
          <controlPr defaultSize="0" autoLine="0" autoPict="0" r:id="rId8">
            <anchor moveWithCells="1">
              <from>
                <xdr:col>24</xdr:col>
                <xdr:colOff>285750</xdr:colOff>
                <xdr:row>1</xdr:row>
                <xdr:rowOff>28575</xdr:rowOff>
              </from>
              <to>
                <xdr:col>37</xdr:col>
                <xdr:colOff>9525</xdr:colOff>
                <xdr:row>2</xdr:row>
                <xdr:rowOff>28575</xdr:rowOff>
              </to>
            </anchor>
          </controlPr>
        </control>
      </mc:Choice>
      <mc:Fallback>
        <control shapeId="1042" r:id="rId7" name="PopulateOverLap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1"/>
  <sheetViews>
    <sheetView workbookViewId="0">
      <selection activeCell="F7" sqref="F7"/>
    </sheetView>
  </sheetViews>
  <sheetFormatPr defaultRowHeight="15" x14ac:dyDescent="0.25"/>
  <cols>
    <col min="1" max="1" width="9.42578125" customWidth="1"/>
    <col min="2" max="2" width="11" customWidth="1"/>
    <col min="3" max="4" width="10.85546875" customWidth="1"/>
    <col min="5" max="5" width="10.7109375" customWidth="1"/>
  </cols>
  <sheetData>
    <row r="1" spans="1:6" x14ac:dyDescent="0.25">
      <c r="A1" s="2" t="s">
        <v>8</v>
      </c>
      <c r="B1" s="2" t="s">
        <v>10</v>
      </c>
      <c r="C1" s="2" t="s">
        <v>9</v>
      </c>
      <c r="D1" s="2" t="s">
        <v>11</v>
      </c>
      <c r="E1" s="2" t="s">
        <v>12</v>
      </c>
      <c r="F1" s="2" t="s">
        <v>13</v>
      </c>
    </row>
    <row r="2" spans="1:6" x14ac:dyDescent="0.25">
      <c r="A2">
        <v>12</v>
      </c>
      <c r="B2">
        <v>1</v>
      </c>
      <c r="C2">
        <v>1</v>
      </c>
      <c r="D2">
        <v>8</v>
      </c>
      <c r="E2" t="str">
        <f>CONCATENATE(B2,",",C2)</f>
        <v>1,1</v>
      </c>
      <c r="F2">
        <v>1</v>
      </c>
    </row>
    <row r="3" spans="1:6" x14ac:dyDescent="0.25">
      <c r="A3">
        <v>25</v>
      </c>
      <c r="B3">
        <v>1</v>
      </c>
      <c r="C3">
        <v>1</v>
      </c>
      <c r="D3">
        <v>2</v>
      </c>
      <c r="E3" t="str">
        <f t="shared" ref="E3:E11" si="0">CONCATENATE(B3,",",C3)</f>
        <v>1,1</v>
      </c>
      <c r="F3">
        <f>IF(E3=E2,F2,F2+1)</f>
        <v>1</v>
      </c>
    </row>
    <row r="4" spans="1:6" x14ac:dyDescent="0.25">
      <c r="A4">
        <v>29</v>
      </c>
      <c r="B4">
        <v>1</v>
      </c>
      <c r="C4">
        <v>1</v>
      </c>
      <c r="D4">
        <v>5</v>
      </c>
      <c r="E4" t="str">
        <f t="shared" si="0"/>
        <v>1,1</v>
      </c>
      <c r="F4">
        <f t="shared" ref="F4:F11" si="1">IF(E4=E3,F3,F3+1)</f>
        <v>1</v>
      </c>
    </row>
    <row r="5" spans="1:6" x14ac:dyDescent="0.25">
      <c r="A5">
        <v>16</v>
      </c>
      <c r="B5">
        <v>1</v>
      </c>
      <c r="C5">
        <v>2</v>
      </c>
      <c r="D5">
        <v>5</v>
      </c>
      <c r="E5" t="str">
        <f t="shared" si="0"/>
        <v>1,2</v>
      </c>
      <c r="F5">
        <f t="shared" si="1"/>
        <v>2</v>
      </c>
    </row>
    <row r="6" spans="1:6" x14ac:dyDescent="0.25">
      <c r="A6">
        <v>22</v>
      </c>
      <c r="B6">
        <v>1</v>
      </c>
      <c r="C6">
        <v>2</v>
      </c>
      <c r="D6">
        <v>8</v>
      </c>
      <c r="E6" t="str">
        <f t="shared" si="0"/>
        <v>1,2</v>
      </c>
      <c r="F6">
        <f t="shared" si="1"/>
        <v>2</v>
      </c>
    </row>
    <row r="7" spans="1:6" x14ac:dyDescent="0.25">
      <c r="A7">
        <v>24</v>
      </c>
      <c r="B7">
        <v>1</v>
      </c>
      <c r="C7">
        <v>2</v>
      </c>
      <c r="D7">
        <v>2</v>
      </c>
      <c r="E7" t="str">
        <f t="shared" si="0"/>
        <v>1,2</v>
      </c>
      <c r="F7">
        <f t="shared" si="1"/>
        <v>2</v>
      </c>
    </row>
    <row r="8" spans="1:6" x14ac:dyDescent="0.25">
      <c r="A8">
        <v>2</v>
      </c>
      <c r="B8">
        <v>1</v>
      </c>
      <c r="C8">
        <v>3</v>
      </c>
      <c r="D8">
        <v>2</v>
      </c>
      <c r="E8" t="str">
        <f t="shared" si="0"/>
        <v>1,3</v>
      </c>
      <c r="F8">
        <f t="shared" si="1"/>
        <v>3</v>
      </c>
    </row>
    <row r="9" spans="1:6" x14ac:dyDescent="0.25">
      <c r="A9">
        <v>7</v>
      </c>
      <c r="B9">
        <v>1</v>
      </c>
      <c r="C9">
        <v>3</v>
      </c>
      <c r="D9">
        <v>4</v>
      </c>
      <c r="E9" t="str">
        <f t="shared" si="0"/>
        <v>1,3</v>
      </c>
      <c r="F9">
        <f t="shared" si="1"/>
        <v>3</v>
      </c>
    </row>
    <row r="10" spans="1:6" x14ac:dyDescent="0.25">
      <c r="A10">
        <v>18</v>
      </c>
      <c r="B10">
        <v>1</v>
      </c>
      <c r="C10">
        <v>3</v>
      </c>
      <c r="D10">
        <v>8</v>
      </c>
      <c r="E10" t="str">
        <f t="shared" si="0"/>
        <v>1,3</v>
      </c>
      <c r="F10">
        <f t="shared" si="1"/>
        <v>3</v>
      </c>
    </row>
    <row r="11" spans="1:6" x14ac:dyDescent="0.25">
      <c r="A11">
        <v>20</v>
      </c>
      <c r="B11">
        <v>1</v>
      </c>
      <c r="C11">
        <v>4</v>
      </c>
      <c r="D11">
        <v>8</v>
      </c>
      <c r="E11" t="str">
        <f t="shared" si="0"/>
        <v>1,4</v>
      </c>
      <c r="F11">
        <f t="shared" si="1"/>
        <v>4</v>
      </c>
    </row>
    <row r="12" spans="1:6" x14ac:dyDescent="0.25">
      <c r="A12">
        <v>28</v>
      </c>
      <c r="B12">
        <v>1</v>
      </c>
      <c r="C12">
        <v>4</v>
      </c>
      <c r="D12">
        <v>6</v>
      </c>
      <c r="E12" t="str">
        <f t="shared" ref="E12:E75" si="2">CONCATENATE(B12,",",C12)</f>
        <v>1,4</v>
      </c>
      <c r="F12">
        <f t="shared" ref="F12:F75" si="3">IF(E12=E11,F11,F11+1)</f>
        <v>4</v>
      </c>
    </row>
    <row r="13" spans="1:6" x14ac:dyDescent="0.25">
      <c r="A13">
        <v>5</v>
      </c>
      <c r="B13">
        <v>1</v>
      </c>
      <c r="C13">
        <v>5</v>
      </c>
      <c r="D13">
        <v>8</v>
      </c>
      <c r="E13" t="str">
        <f t="shared" si="2"/>
        <v>1,5</v>
      </c>
      <c r="F13">
        <f t="shared" si="3"/>
        <v>5</v>
      </c>
    </row>
    <row r="14" spans="1:6" x14ac:dyDescent="0.25">
      <c r="A14">
        <v>9</v>
      </c>
      <c r="B14">
        <v>1</v>
      </c>
      <c r="C14">
        <v>5</v>
      </c>
      <c r="D14">
        <v>7</v>
      </c>
      <c r="E14" t="str">
        <f t="shared" si="2"/>
        <v>1,5</v>
      </c>
      <c r="F14">
        <f t="shared" si="3"/>
        <v>5</v>
      </c>
    </row>
    <row r="15" spans="1:6" x14ac:dyDescent="0.25">
      <c r="A15">
        <v>14</v>
      </c>
      <c r="B15">
        <v>1</v>
      </c>
      <c r="C15">
        <v>5</v>
      </c>
      <c r="D15">
        <v>3</v>
      </c>
      <c r="E15" t="str">
        <f t="shared" si="2"/>
        <v>1,5</v>
      </c>
      <c r="F15">
        <f t="shared" si="3"/>
        <v>5</v>
      </c>
    </row>
    <row r="16" spans="1:6" x14ac:dyDescent="0.25">
      <c r="A16">
        <v>15</v>
      </c>
      <c r="B16">
        <v>2</v>
      </c>
      <c r="C16">
        <v>1</v>
      </c>
      <c r="D16">
        <v>1</v>
      </c>
      <c r="E16" t="str">
        <f t="shared" si="2"/>
        <v>2,1</v>
      </c>
      <c r="F16">
        <f t="shared" si="3"/>
        <v>6</v>
      </c>
    </row>
    <row r="17" spans="1:6" x14ac:dyDescent="0.25">
      <c r="A17">
        <v>21</v>
      </c>
      <c r="B17">
        <v>2</v>
      </c>
      <c r="C17">
        <v>1</v>
      </c>
      <c r="D17">
        <v>4</v>
      </c>
      <c r="E17" t="str">
        <f t="shared" si="2"/>
        <v>2,1</v>
      </c>
      <c r="F17">
        <f t="shared" si="3"/>
        <v>6</v>
      </c>
    </row>
    <row r="18" spans="1:6" x14ac:dyDescent="0.25">
      <c r="A18">
        <v>10</v>
      </c>
      <c r="B18">
        <v>2</v>
      </c>
      <c r="C18">
        <v>2</v>
      </c>
      <c r="D18">
        <v>1</v>
      </c>
      <c r="E18" t="str">
        <f t="shared" si="2"/>
        <v>2,2</v>
      </c>
      <c r="F18">
        <f t="shared" si="3"/>
        <v>7</v>
      </c>
    </row>
    <row r="19" spans="1:6" x14ac:dyDescent="0.25">
      <c r="A19">
        <v>11</v>
      </c>
      <c r="B19">
        <v>2</v>
      </c>
      <c r="C19">
        <v>2</v>
      </c>
      <c r="D19">
        <v>3</v>
      </c>
      <c r="E19" t="str">
        <f t="shared" si="2"/>
        <v>2,2</v>
      </c>
      <c r="F19">
        <f t="shared" si="3"/>
        <v>7</v>
      </c>
    </row>
    <row r="20" spans="1:6" x14ac:dyDescent="0.25">
      <c r="A20">
        <v>13</v>
      </c>
      <c r="B20">
        <v>2</v>
      </c>
      <c r="C20">
        <v>2</v>
      </c>
      <c r="D20">
        <v>4</v>
      </c>
      <c r="E20" t="str">
        <f t="shared" si="2"/>
        <v>2,2</v>
      </c>
      <c r="F20">
        <f t="shared" si="3"/>
        <v>7</v>
      </c>
    </row>
    <row r="21" spans="1:6" x14ac:dyDescent="0.25">
      <c r="A21">
        <v>1</v>
      </c>
      <c r="B21">
        <v>2</v>
      </c>
      <c r="C21">
        <v>3</v>
      </c>
      <c r="D21">
        <v>7</v>
      </c>
      <c r="E21" t="str">
        <f t="shared" si="2"/>
        <v>2,3</v>
      </c>
      <c r="F21">
        <f t="shared" si="3"/>
        <v>8</v>
      </c>
    </row>
    <row r="22" spans="1:6" x14ac:dyDescent="0.25">
      <c r="A22">
        <v>27</v>
      </c>
      <c r="B22">
        <v>2</v>
      </c>
      <c r="C22">
        <v>3</v>
      </c>
      <c r="D22">
        <v>6</v>
      </c>
      <c r="E22" t="str">
        <f t="shared" si="2"/>
        <v>2,3</v>
      </c>
      <c r="F22">
        <f t="shared" si="3"/>
        <v>8</v>
      </c>
    </row>
    <row r="23" spans="1:6" x14ac:dyDescent="0.25">
      <c r="A23">
        <v>4</v>
      </c>
      <c r="B23">
        <v>2</v>
      </c>
      <c r="C23">
        <v>4</v>
      </c>
      <c r="D23">
        <v>7</v>
      </c>
      <c r="E23" t="str">
        <f t="shared" si="2"/>
        <v>2,4</v>
      </c>
      <c r="F23">
        <f t="shared" si="3"/>
        <v>9</v>
      </c>
    </row>
    <row r="24" spans="1:6" x14ac:dyDescent="0.25">
      <c r="A24">
        <v>17</v>
      </c>
      <c r="B24">
        <v>2</v>
      </c>
      <c r="C24">
        <v>4</v>
      </c>
      <c r="D24">
        <v>8</v>
      </c>
      <c r="E24" t="str">
        <f t="shared" si="2"/>
        <v>2,4</v>
      </c>
      <c r="F24">
        <f t="shared" si="3"/>
        <v>9</v>
      </c>
    </row>
    <row r="25" spans="1:6" x14ac:dyDescent="0.25">
      <c r="A25">
        <v>30</v>
      </c>
      <c r="B25">
        <v>2</v>
      </c>
      <c r="C25">
        <v>4</v>
      </c>
      <c r="D25">
        <v>2</v>
      </c>
      <c r="E25" t="str">
        <f t="shared" si="2"/>
        <v>2,4</v>
      </c>
      <c r="F25">
        <f t="shared" si="3"/>
        <v>9</v>
      </c>
    </row>
    <row r="26" spans="1:6" x14ac:dyDescent="0.25">
      <c r="A26">
        <v>6</v>
      </c>
      <c r="B26">
        <v>2</v>
      </c>
      <c r="C26">
        <v>5</v>
      </c>
      <c r="D26">
        <v>3</v>
      </c>
      <c r="E26" t="str">
        <f t="shared" si="2"/>
        <v>2,5</v>
      </c>
      <c r="F26">
        <f t="shared" si="3"/>
        <v>10</v>
      </c>
    </row>
    <row r="27" spans="1:6" x14ac:dyDescent="0.25">
      <c r="A27">
        <v>8</v>
      </c>
      <c r="B27">
        <v>2</v>
      </c>
      <c r="C27">
        <v>5</v>
      </c>
      <c r="D27">
        <v>8</v>
      </c>
      <c r="E27" t="str">
        <f t="shared" si="2"/>
        <v>2,5</v>
      </c>
      <c r="F27">
        <f t="shared" si="3"/>
        <v>10</v>
      </c>
    </row>
    <row r="28" spans="1:6" x14ac:dyDescent="0.25">
      <c r="A28">
        <v>15</v>
      </c>
      <c r="B28">
        <v>3</v>
      </c>
      <c r="C28">
        <v>1</v>
      </c>
      <c r="D28">
        <v>1</v>
      </c>
      <c r="E28" t="str">
        <f t="shared" si="2"/>
        <v>3,1</v>
      </c>
      <c r="F28">
        <f t="shared" si="3"/>
        <v>11</v>
      </c>
    </row>
    <row r="29" spans="1:6" x14ac:dyDescent="0.25">
      <c r="A29">
        <v>21</v>
      </c>
      <c r="B29">
        <v>3</v>
      </c>
      <c r="C29">
        <v>1</v>
      </c>
      <c r="D29">
        <v>4</v>
      </c>
      <c r="E29" t="str">
        <f t="shared" si="2"/>
        <v>3,1</v>
      </c>
      <c r="F29">
        <f t="shared" si="3"/>
        <v>11</v>
      </c>
    </row>
    <row r="30" spans="1:6" x14ac:dyDescent="0.25">
      <c r="A30">
        <v>20</v>
      </c>
      <c r="B30">
        <v>3</v>
      </c>
      <c r="C30">
        <v>2</v>
      </c>
      <c r="D30">
        <v>8</v>
      </c>
      <c r="E30" t="str">
        <f t="shared" si="2"/>
        <v>3,2</v>
      </c>
      <c r="F30">
        <f t="shared" si="3"/>
        <v>12</v>
      </c>
    </row>
    <row r="31" spans="1:6" x14ac:dyDescent="0.25">
      <c r="A31">
        <v>28</v>
      </c>
      <c r="B31">
        <v>3</v>
      </c>
      <c r="C31">
        <v>2</v>
      </c>
      <c r="D31">
        <v>6</v>
      </c>
      <c r="E31" t="str">
        <f t="shared" si="2"/>
        <v>3,2</v>
      </c>
      <c r="F31">
        <f t="shared" si="3"/>
        <v>12</v>
      </c>
    </row>
    <row r="32" spans="1:6" x14ac:dyDescent="0.25">
      <c r="A32">
        <v>3</v>
      </c>
      <c r="B32">
        <v>3</v>
      </c>
      <c r="C32">
        <v>3</v>
      </c>
      <c r="D32">
        <v>4</v>
      </c>
      <c r="E32" t="str">
        <f t="shared" si="2"/>
        <v>3,3</v>
      </c>
      <c r="F32">
        <f t="shared" si="3"/>
        <v>13</v>
      </c>
    </row>
    <row r="33" spans="1:6" x14ac:dyDescent="0.25">
      <c r="A33">
        <v>23</v>
      </c>
      <c r="B33">
        <v>3</v>
      </c>
      <c r="C33">
        <v>3</v>
      </c>
      <c r="D33">
        <v>7</v>
      </c>
      <c r="E33" t="str">
        <f t="shared" si="2"/>
        <v>3,3</v>
      </c>
      <c r="F33">
        <f t="shared" si="3"/>
        <v>13</v>
      </c>
    </row>
    <row r="34" spans="1:6" x14ac:dyDescent="0.25">
      <c r="A34">
        <v>26</v>
      </c>
      <c r="B34">
        <v>3</v>
      </c>
      <c r="C34">
        <v>4</v>
      </c>
      <c r="D34">
        <v>7</v>
      </c>
      <c r="E34" t="str">
        <f t="shared" si="2"/>
        <v>3,4</v>
      </c>
      <c r="F34">
        <f t="shared" si="3"/>
        <v>14</v>
      </c>
    </row>
    <row r="35" spans="1:6" x14ac:dyDescent="0.25">
      <c r="A35">
        <v>1</v>
      </c>
      <c r="B35">
        <v>3</v>
      </c>
      <c r="C35">
        <v>5</v>
      </c>
      <c r="D35">
        <v>7</v>
      </c>
      <c r="E35" t="str">
        <f t="shared" si="2"/>
        <v>3,5</v>
      </c>
      <c r="F35">
        <f t="shared" si="3"/>
        <v>15</v>
      </c>
    </row>
    <row r="36" spans="1:6" x14ac:dyDescent="0.25">
      <c r="A36">
        <v>27</v>
      </c>
      <c r="B36">
        <v>3</v>
      </c>
      <c r="C36">
        <v>5</v>
      </c>
      <c r="D36">
        <v>6</v>
      </c>
      <c r="E36" t="str">
        <f t="shared" si="2"/>
        <v>3,5</v>
      </c>
      <c r="F36">
        <f t="shared" si="3"/>
        <v>15</v>
      </c>
    </row>
    <row r="37" spans="1:6" x14ac:dyDescent="0.25">
      <c r="A37">
        <v>6</v>
      </c>
      <c r="B37">
        <v>4</v>
      </c>
      <c r="C37">
        <v>1</v>
      </c>
      <c r="D37">
        <v>3</v>
      </c>
      <c r="E37" t="str">
        <f t="shared" si="2"/>
        <v>4,1</v>
      </c>
      <c r="F37">
        <f t="shared" si="3"/>
        <v>16</v>
      </c>
    </row>
    <row r="38" spans="1:6" x14ac:dyDescent="0.25">
      <c r="A38">
        <v>8</v>
      </c>
      <c r="B38">
        <v>4</v>
      </c>
      <c r="C38">
        <v>1</v>
      </c>
      <c r="D38">
        <v>8</v>
      </c>
      <c r="E38" t="str">
        <f t="shared" si="2"/>
        <v>4,1</v>
      </c>
      <c r="F38">
        <f t="shared" si="3"/>
        <v>16</v>
      </c>
    </row>
    <row r="39" spans="1:6" x14ac:dyDescent="0.25">
      <c r="A39">
        <v>16</v>
      </c>
      <c r="B39">
        <v>4</v>
      </c>
      <c r="C39">
        <v>2</v>
      </c>
      <c r="D39">
        <v>5</v>
      </c>
      <c r="E39" t="str">
        <f t="shared" si="2"/>
        <v>4,2</v>
      </c>
      <c r="F39">
        <f t="shared" si="3"/>
        <v>17</v>
      </c>
    </row>
    <row r="40" spans="1:6" x14ac:dyDescent="0.25">
      <c r="A40">
        <v>22</v>
      </c>
      <c r="B40">
        <v>4</v>
      </c>
      <c r="C40">
        <v>2</v>
      </c>
      <c r="D40">
        <v>8</v>
      </c>
      <c r="E40" t="str">
        <f t="shared" si="2"/>
        <v>4,2</v>
      </c>
      <c r="F40">
        <f t="shared" si="3"/>
        <v>17</v>
      </c>
    </row>
    <row r="41" spans="1:6" x14ac:dyDescent="0.25">
      <c r="A41">
        <v>24</v>
      </c>
      <c r="B41">
        <v>4</v>
      </c>
      <c r="C41">
        <v>2</v>
      </c>
      <c r="D41">
        <v>2</v>
      </c>
      <c r="E41" t="str">
        <f t="shared" si="2"/>
        <v>4,2</v>
      </c>
      <c r="F41">
        <f t="shared" si="3"/>
        <v>17</v>
      </c>
    </row>
    <row r="42" spans="1:6" x14ac:dyDescent="0.25">
      <c r="A42">
        <v>19</v>
      </c>
      <c r="B42">
        <v>4</v>
      </c>
      <c r="C42">
        <v>3</v>
      </c>
      <c r="D42">
        <v>6</v>
      </c>
      <c r="E42" t="str">
        <f t="shared" si="2"/>
        <v>4,3</v>
      </c>
      <c r="F42">
        <f t="shared" si="3"/>
        <v>18</v>
      </c>
    </row>
    <row r="43" spans="1:6" x14ac:dyDescent="0.25">
      <c r="A43">
        <v>26</v>
      </c>
      <c r="B43">
        <v>4</v>
      </c>
      <c r="C43">
        <v>3</v>
      </c>
      <c r="D43">
        <v>7</v>
      </c>
      <c r="E43" t="str">
        <f t="shared" si="2"/>
        <v>4,3</v>
      </c>
      <c r="F43">
        <f t="shared" si="3"/>
        <v>18</v>
      </c>
    </row>
    <row r="44" spans="1:6" x14ac:dyDescent="0.25">
      <c r="A44">
        <v>3</v>
      </c>
      <c r="B44">
        <v>4</v>
      </c>
      <c r="C44">
        <v>4</v>
      </c>
      <c r="D44">
        <v>4</v>
      </c>
      <c r="E44" t="str">
        <f t="shared" si="2"/>
        <v>4,4</v>
      </c>
      <c r="F44">
        <f t="shared" si="3"/>
        <v>19</v>
      </c>
    </row>
    <row r="45" spans="1:6" x14ac:dyDescent="0.25">
      <c r="A45">
        <v>23</v>
      </c>
      <c r="B45">
        <v>4</v>
      </c>
      <c r="C45">
        <v>4</v>
      </c>
      <c r="D45">
        <v>7</v>
      </c>
      <c r="E45" t="str">
        <f t="shared" si="2"/>
        <v>4,4</v>
      </c>
      <c r="F45">
        <f t="shared" si="3"/>
        <v>19</v>
      </c>
    </row>
    <row r="46" spans="1:6" x14ac:dyDescent="0.25">
      <c r="A46">
        <v>12</v>
      </c>
      <c r="B46">
        <v>4</v>
      </c>
      <c r="C46">
        <v>5</v>
      </c>
      <c r="D46">
        <v>8</v>
      </c>
      <c r="E46" t="str">
        <f t="shared" si="2"/>
        <v>4,5</v>
      </c>
      <c r="F46">
        <f t="shared" si="3"/>
        <v>20</v>
      </c>
    </row>
    <row r="47" spans="1:6" x14ac:dyDescent="0.25">
      <c r="A47">
        <v>25</v>
      </c>
      <c r="B47">
        <v>4</v>
      </c>
      <c r="C47">
        <v>5</v>
      </c>
      <c r="D47">
        <v>2</v>
      </c>
      <c r="E47" t="str">
        <f t="shared" si="2"/>
        <v>4,5</v>
      </c>
      <c r="F47">
        <f t="shared" si="3"/>
        <v>20</v>
      </c>
    </row>
    <row r="48" spans="1:6" x14ac:dyDescent="0.25">
      <c r="A48">
        <v>29</v>
      </c>
      <c r="B48">
        <v>4</v>
      </c>
      <c r="C48">
        <v>5</v>
      </c>
      <c r="D48">
        <v>5</v>
      </c>
      <c r="E48" t="str">
        <f t="shared" si="2"/>
        <v>4,5</v>
      </c>
      <c r="F48">
        <f t="shared" si="3"/>
        <v>20</v>
      </c>
    </row>
    <row r="49" spans="1:6" x14ac:dyDescent="0.25">
      <c r="A49">
        <v>4</v>
      </c>
      <c r="B49">
        <v>5</v>
      </c>
      <c r="C49">
        <v>1</v>
      </c>
      <c r="D49">
        <v>7</v>
      </c>
      <c r="E49" t="str">
        <f t="shared" si="2"/>
        <v>5,1</v>
      </c>
      <c r="F49">
        <f t="shared" si="3"/>
        <v>21</v>
      </c>
    </row>
    <row r="50" spans="1:6" x14ac:dyDescent="0.25">
      <c r="A50">
        <v>17</v>
      </c>
      <c r="B50">
        <v>5</v>
      </c>
      <c r="C50">
        <v>1</v>
      </c>
      <c r="D50">
        <v>8</v>
      </c>
      <c r="E50" t="str">
        <f t="shared" si="2"/>
        <v>5,1</v>
      </c>
      <c r="F50">
        <f t="shared" si="3"/>
        <v>21</v>
      </c>
    </row>
    <row r="51" spans="1:6" x14ac:dyDescent="0.25">
      <c r="A51">
        <v>30</v>
      </c>
      <c r="B51">
        <v>5</v>
      </c>
      <c r="C51">
        <v>1</v>
      </c>
      <c r="D51">
        <v>2</v>
      </c>
      <c r="E51" t="str">
        <f t="shared" si="2"/>
        <v>5,1</v>
      </c>
      <c r="F51">
        <f t="shared" si="3"/>
        <v>21</v>
      </c>
    </row>
    <row r="52" spans="1:6" x14ac:dyDescent="0.25">
      <c r="A52">
        <v>5</v>
      </c>
      <c r="B52">
        <v>5</v>
      </c>
      <c r="C52">
        <v>2</v>
      </c>
      <c r="D52">
        <v>8</v>
      </c>
      <c r="E52" t="str">
        <f t="shared" si="2"/>
        <v>5,2</v>
      </c>
      <c r="F52">
        <f t="shared" si="3"/>
        <v>22</v>
      </c>
    </row>
    <row r="53" spans="1:6" x14ac:dyDescent="0.25">
      <c r="A53">
        <v>9</v>
      </c>
      <c r="B53">
        <v>5</v>
      </c>
      <c r="C53">
        <v>2</v>
      </c>
      <c r="D53">
        <v>7</v>
      </c>
      <c r="E53" t="str">
        <f t="shared" si="2"/>
        <v>5,2</v>
      </c>
      <c r="F53">
        <f t="shared" si="3"/>
        <v>22</v>
      </c>
    </row>
    <row r="54" spans="1:6" x14ac:dyDescent="0.25">
      <c r="A54">
        <v>14</v>
      </c>
      <c r="B54">
        <v>5</v>
      </c>
      <c r="C54">
        <v>2</v>
      </c>
      <c r="D54">
        <v>3</v>
      </c>
      <c r="E54" t="str">
        <f t="shared" si="2"/>
        <v>5,2</v>
      </c>
      <c r="F54">
        <f t="shared" si="3"/>
        <v>22</v>
      </c>
    </row>
    <row r="55" spans="1:6" x14ac:dyDescent="0.25">
      <c r="A55">
        <v>19</v>
      </c>
      <c r="B55">
        <v>5</v>
      </c>
      <c r="C55">
        <v>3</v>
      </c>
      <c r="D55">
        <v>6</v>
      </c>
      <c r="E55" t="str">
        <f t="shared" si="2"/>
        <v>5,3</v>
      </c>
      <c r="F55">
        <f t="shared" si="3"/>
        <v>23</v>
      </c>
    </row>
    <row r="56" spans="1:6" x14ac:dyDescent="0.25">
      <c r="A56">
        <v>10</v>
      </c>
      <c r="B56">
        <v>5</v>
      </c>
      <c r="C56">
        <v>4</v>
      </c>
      <c r="D56">
        <v>1</v>
      </c>
      <c r="E56" t="str">
        <f t="shared" si="2"/>
        <v>5,4</v>
      </c>
      <c r="F56">
        <f t="shared" si="3"/>
        <v>24</v>
      </c>
    </row>
    <row r="57" spans="1:6" x14ac:dyDescent="0.25">
      <c r="A57">
        <v>11</v>
      </c>
      <c r="B57">
        <v>5</v>
      </c>
      <c r="C57">
        <v>4</v>
      </c>
      <c r="D57">
        <v>3</v>
      </c>
      <c r="E57" t="str">
        <f t="shared" si="2"/>
        <v>5,4</v>
      </c>
      <c r="F57">
        <f t="shared" si="3"/>
        <v>24</v>
      </c>
    </row>
    <row r="58" spans="1:6" x14ac:dyDescent="0.25">
      <c r="A58">
        <v>13</v>
      </c>
      <c r="B58">
        <v>5</v>
      </c>
      <c r="C58">
        <v>4</v>
      </c>
      <c r="D58">
        <v>4</v>
      </c>
      <c r="E58" t="str">
        <f t="shared" si="2"/>
        <v>5,4</v>
      </c>
      <c r="F58">
        <f t="shared" si="3"/>
        <v>24</v>
      </c>
    </row>
    <row r="59" spans="1:6" x14ac:dyDescent="0.25">
      <c r="A59">
        <v>2</v>
      </c>
      <c r="B59">
        <v>5</v>
      </c>
      <c r="C59">
        <v>5</v>
      </c>
      <c r="D59">
        <v>2</v>
      </c>
      <c r="E59" t="str">
        <f t="shared" si="2"/>
        <v>5,5</v>
      </c>
      <c r="F59">
        <f t="shared" si="3"/>
        <v>25</v>
      </c>
    </row>
    <row r="60" spans="1:6" x14ac:dyDescent="0.25">
      <c r="A60">
        <v>7</v>
      </c>
      <c r="B60">
        <v>5</v>
      </c>
      <c r="C60">
        <v>5</v>
      </c>
      <c r="D60">
        <v>4</v>
      </c>
      <c r="E60" t="str">
        <f t="shared" si="2"/>
        <v>5,5</v>
      </c>
      <c r="F60">
        <f t="shared" si="3"/>
        <v>25</v>
      </c>
    </row>
    <row r="61" spans="1:6" x14ac:dyDescent="0.25">
      <c r="A61">
        <v>18</v>
      </c>
      <c r="B61">
        <v>5</v>
      </c>
      <c r="C61">
        <v>5</v>
      </c>
      <c r="D61">
        <v>8</v>
      </c>
      <c r="E61" t="str">
        <f t="shared" si="2"/>
        <v>5,5</v>
      </c>
      <c r="F61">
        <f t="shared" si="3"/>
        <v>25</v>
      </c>
    </row>
    <row r="62" spans="1:6" x14ac:dyDescent="0.25">
      <c r="A62">
        <v>0</v>
      </c>
      <c r="B62">
        <v>0</v>
      </c>
      <c r="C62">
        <v>0</v>
      </c>
      <c r="D62">
        <v>0</v>
      </c>
      <c r="E62" t="str">
        <f t="shared" si="2"/>
        <v>0,0</v>
      </c>
      <c r="F62">
        <f t="shared" si="3"/>
        <v>26</v>
      </c>
    </row>
    <row r="63" spans="1:6" x14ac:dyDescent="0.25">
      <c r="A63">
        <v>0</v>
      </c>
      <c r="B63">
        <v>0</v>
      </c>
      <c r="C63">
        <v>0</v>
      </c>
      <c r="D63">
        <v>0</v>
      </c>
      <c r="E63" t="str">
        <f t="shared" si="2"/>
        <v>0,0</v>
      </c>
      <c r="F63">
        <f t="shared" si="3"/>
        <v>26</v>
      </c>
    </row>
    <row r="64" spans="1:6" x14ac:dyDescent="0.25">
      <c r="A64">
        <v>0</v>
      </c>
      <c r="B64">
        <v>0</v>
      </c>
      <c r="C64">
        <v>0</v>
      </c>
      <c r="D64">
        <v>0</v>
      </c>
      <c r="E64" t="str">
        <f t="shared" si="2"/>
        <v>0,0</v>
      </c>
      <c r="F64">
        <f t="shared" si="3"/>
        <v>26</v>
      </c>
    </row>
    <row r="65" spans="1:6" x14ac:dyDescent="0.25">
      <c r="A65">
        <v>0</v>
      </c>
      <c r="B65">
        <v>0</v>
      </c>
      <c r="C65">
        <v>0</v>
      </c>
      <c r="D65">
        <v>0</v>
      </c>
      <c r="E65" t="str">
        <f t="shared" si="2"/>
        <v>0,0</v>
      </c>
      <c r="F65">
        <f t="shared" si="3"/>
        <v>26</v>
      </c>
    </row>
    <row r="66" spans="1:6" x14ac:dyDescent="0.25">
      <c r="A66">
        <v>0</v>
      </c>
      <c r="B66">
        <v>0</v>
      </c>
      <c r="C66">
        <v>0</v>
      </c>
      <c r="D66">
        <v>0</v>
      </c>
      <c r="E66" t="str">
        <f t="shared" si="2"/>
        <v>0,0</v>
      </c>
      <c r="F66">
        <f t="shared" si="3"/>
        <v>26</v>
      </c>
    </row>
    <row r="67" spans="1:6" x14ac:dyDescent="0.25">
      <c r="A67">
        <v>0</v>
      </c>
      <c r="B67">
        <v>0</v>
      </c>
      <c r="C67">
        <v>0</v>
      </c>
      <c r="D67">
        <v>0</v>
      </c>
      <c r="E67" t="str">
        <f t="shared" si="2"/>
        <v>0,0</v>
      </c>
      <c r="F67">
        <f t="shared" si="3"/>
        <v>26</v>
      </c>
    </row>
    <row r="68" spans="1:6" x14ac:dyDescent="0.25">
      <c r="A68">
        <v>0</v>
      </c>
      <c r="B68">
        <v>0</v>
      </c>
      <c r="C68">
        <v>0</v>
      </c>
      <c r="D68">
        <v>0</v>
      </c>
      <c r="E68" t="str">
        <f t="shared" si="2"/>
        <v>0,0</v>
      </c>
      <c r="F68">
        <f t="shared" si="3"/>
        <v>26</v>
      </c>
    </row>
    <row r="69" spans="1:6" x14ac:dyDescent="0.25">
      <c r="A69">
        <v>0</v>
      </c>
      <c r="B69">
        <v>0</v>
      </c>
      <c r="C69">
        <v>0</v>
      </c>
      <c r="D69">
        <v>0</v>
      </c>
      <c r="E69" t="str">
        <f t="shared" si="2"/>
        <v>0,0</v>
      </c>
      <c r="F69">
        <f t="shared" si="3"/>
        <v>26</v>
      </c>
    </row>
    <row r="70" spans="1:6" x14ac:dyDescent="0.25">
      <c r="A70">
        <v>0</v>
      </c>
      <c r="B70">
        <v>0</v>
      </c>
      <c r="C70">
        <v>0</v>
      </c>
      <c r="D70">
        <v>0</v>
      </c>
      <c r="E70" t="str">
        <f t="shared" si="2"/>
        <v>0,0</v>
      </c>
      <c r="F70">
        <f t="shared" si="3"/>
        <v>26</v>
      </c>
    </row>
    <row r="71" spans="1:6" x14ac:dyDescent="0.25">
      <c r="A71">
        <v>0</v>
      </c>
      <c r="B71">
        <v>0</v>
      </c>
      <c r="C71">
        <v>0</v>
      </c>
      <c r="D71">
        <v>0</v>
      </c>
      <c r="E71" t="str">
        <f t="shared" si="2"/>
        <v>0,0</v>
      </c>
      <c r="F71">
        <f t="shared" si="3"/>
        <v>26</v>
      </c>
    </row>
    <row r="72" spans="1:6" x14ac:dyDescent="0.25">
      <c r="A72">
        <v>0</v>
      </c>
      <c r="B72">
        <v>0</v>
      </c>
      <c r="C72">
        <v>0</v>
      </c>
      <c r="D72">
        <v>0</v>
      </c>
      <c r="E72" t="str">
        <f t="shared" si="2"/>
        <v>0,0</v>
      </c>
      <c r="F72">
        <f t="shared" si="3"/>
        <v>26</v>
      </c>
    </row>
    <row r="73" spans="1:6" x14ac:dyDescent="0.25">
      <c r="A73">
        <v>0</v>
      </c>
      <c r="B73">
        <v>0</v>
      </c>
      <c r="C73">
        <v>0</v>
      </c>
      <c r="D73">
        <v>0</v>
      </c>
      <c r="E73" t="str">
        <f t="shared" si="2"/>
        <v>0,0</v>
      </c>
      <c r="F73">
        <f t="shared" si="3"/>
        <v>26</v>
      </c>
    </row>
    <row r="74" spans="1:6" x14ac:dyDescent="0.25">
      <c r="A74">
        <v>0</v>
      </c>
      <c r="B74">
        <v>0</v>
      </c>
      <c r="C74">
        <v>0</v>
      </c>
      <c r="D74">
        <v>0</v>
      </c>
      <c r="E74" t="str">
        <f t="shared" si="2"/>
        <v>0,0</v>
      </c>
      <c r="F74">
        <f t="shared" si="3"/>
        <v>26</v>
      </c>
    </row>
    <row r="75" spans="1:6" x14ac:dyDescent="0.25">
      <c r="A75">
        <v>0</v>
      </c>
      <c r="B75">
        <v>0</v>
      </c>
      <c r="C75">
        <v>0</v>
      </c>
      <c r="D75">
        <v>0</v>
      </c>
      <c r="E75" t="str">
        <f t="shared" si="2"/>
        <v>0,0</v>
      </c>
      <c r="F75">
        <f t="shared" si="3"/>
        <v>26</v>
      </c>
    </row>
    <row r="76" spans="1:6" x14ac:dyDescent="0.25">
      <c r="A76">
        <v>0</v>
      </c>
      <c r="B76">
        <v>0</v>
      </c>
      <c r="C76">
        <v>0</v>
      </c>
      <c r="D76">
        <v>0</v>
      </c>
      <c r="E76" t="str">
        <f t="shared" ref="E76:E93" si="4">CONCATENATE(B76,",",C76)</f>
        <v>0,0</v>
      </c>
      <c r="F76">
        <f t="shared" ref="F76:F93" si="5">IF(E76=E75,F75,F75+1)</f>
        <v>26</v>
      </c>
    </row>
    <row r="77" spans="1:6" x14ac:dyDescent="0.25">
      <c r="A77">
        <v>0</v>
      </c>
      <c r="B77">
        <v>0</v>
      </c>
      <c r="C77">
        <v>0</v>
      </c>
      <c r="D77">
        <v>0</v>
      </c>
      <c r="E77" t="str">
        <f t="shared" si="4"/>
        <v>0,0</v>
      </c>
      <c r="F77">
        <f t="shared" si="5"/>
        <v>26</v>
      </c>
    </row>
    <row r="78" spans="1:6" x14ac:dyDescent="0.25">
      <c r="A78">
        <v>0</v>
      </c>
      <c r="B78">
        <v>0</v>
      </c>
      <c r="C78">
        <v>0</v>
      </c>
      <c r="D78">
        <v>0</v>
      </c>
      <c r="E78" t="str">
        <f t="shared" si="4"/>
        <v>0,0</v>
      </c>
      <c r="F78">
        <f t="shared" si="5"/>
        <v>26</v>
      </c>
    </row>
    <row r="79" spans="1:6" x14ac:dyDescent="0.25">
      <c r="A79">
        <v>0</v>
      </c>
      <c r="B79">
        <v>0</v>
      </c>
      <c r="C79">
        <v>0</v>
      </c>
      <c r="D79">
        <v>0</v>
      </c>
      <c r="E79" t="str">
        <f t="shared" si="4"/>
        <v>0,0</v>
      </c>
      <c r="F79">
        <f t="shared" si="5"/>
        <v>26</v>
      </c>
    </row>
    <row r="80" spans="1:6" x14ac:dyDescent="0.25">
      <c r="A80">
        <v>0</v>
      </c>
      <c r="B80">
        <v>0</v>
      </c>
      <c r="C80">
        <v>0</v>
      </c>
      <c r="D80">
        <v>0</v>
      </c>
      <c r="E80" t="str">
        <f t="shared" si="4"/>
        <v>0,0</v>
      </c>
      <c r="F80">
        <f t="shared" si="5"/>
        <v>26</v>
      </c>
    </row>
    <row r="81" spans="1:6" x14ac:dyDescent="0.25">
      <c r="A81">
        <v>0</v>
      </c>
      <c r="B81">
        <v>0</v>
      </c>
      <c r="C81">
        <v>0</v>
      </c>
      <c r="D81">
        <v>0</v>
      </c>
      <c r="E81" t="str">
        <f t="shared" si="4"/>
        <v>0,0</v>
      </c>
      <c r="F81">
        <f t="shared" si="5"/>
        <v>26</v>
      </c>
    </row>
    <row r="82" spans="1:6" x14ac:dyDescent="0.25">
      <c r="A82">
        <v>0</v>
      </c>
      <c r="B82">
        <v>0</v>
      </c>
      <c r="C82">
        <v>0</v>
      </c>
      <c r="D82">
        <v>0</v>
      </c>
      <c r="E82" t="str">
        <f t="shared" si="4"/>
        <v>0,0</v>
      </c>
      <c r="F82">
        <f t="shared" si="5"/>
        <v>26</v>
      </c>
    </row>
    <row r="83" spans="1:6" x14ac:dyDescent="0.25">
      <c r="A83">
        <v>0</v>
      </c>
      <c r="B83">
        <v>0</v>
      </c>
      <c r="C83">
        <v>0</v>
      </c>
      <c r="D83">
        <v>0</v>
      </c>
      <c r="E83" t="str">
        <f t="shared" si="4"/>
        <v>0,0</v>
      </c>
      <c r="F83">
        <f t="shared" si="5"/>
        <v>26</v>
      </c>
    </row>
    <row r="84" spans="1:6" x14ac:dyDescent="0.25">
      <c r="A84">
        <v>0</v>
      </c>
      <c r="B84">
        <v>0</v>
      </c>
      <c r="C84">
        <v>0</v>
      </c>
      <c r="D84">
        <v>0</v>
      </c>
      <c r="E84" t="str">
        <f t="shared" si="4"/>
        <v>0,0</v>
      </c>
      <c r="F84">
        <f t="shared" si="5"/>
        <v>26</v>
      </c>
    </row>
    <row r="85" spans="1:6" x14ac:dyDescent="0.25">
      <c r="A85">
        <v>0</v>
      </c>
      <c r="B85">
        <v>0</v>
      </c>
      <c r="C85">
        <v>0</v>
      </c>
      <c r="D85">
        <v>0</v>
      </c>
      <c r="E85" t="str">
        <f t="shared" si="4"/>
        <v>0,0</v>
      </c>
      <c r="F85">
        <f t="shared" si="5"/>
        <v>26</v>
      </c>
    </row>
    <row r="86" spans="1:6" x14ac:dyDescent="0.25">
      <c r="A86">
        <v>0</v>
      </c>
      <c r="B86">
        <v>0</v>
      </c>
      <c r="C86">
        <v>0</v>
      </c>
      <c r="D86">
        <v>0</v>
      </c>
      <c r="E86" t="str">
        <f t="shared" si="4"/>
        <v>0,0</v>
      </c>
      <c r="F86">
        <f t="shared" si="5"/>
        <v>26</v>
      </c>
    </row>
    <row r="87" spans="1:6" x14ac:dyDescent="0.25">
      <c r="A87">
        <v>0</v>
      </c>
      <c r="B87">
        <v>0</v>
      </c>
      <c r="C87">
        <v>0</v>
      </c>
      <c r="D87">
        <v>0</v>
      </c>
      <c r="E87" t="str">
        <f t="shared" si="4"/>
        <v>0,0</v>
      </c>
      <c r="F87">
        <f t="shared" si="5"/>
        <v>26</v>
      </c>
    </row>
    <row r="88" spans="1:6" x14ac:dyDescent="0.25">
      <c r="A88">
        <v>0</v>
      </c>
      <c r="B88">
        <v>0</v>
      </c>
      <c r="C88">
        <v>0</v>
      </c>
      <c r="D88">
        <v>0</v>
      </c>
      <c r="E88" t="str">
        <f t="shared" si="4"/>
        <v>0,0</v>
      </c>
      <c r="F88">
        <f t="shared" si="5"/>
        <v>26</v>
      </c>
    </row>
    <row r="89" spans="1:6" x14ac:dyDescent="0.25">
      <c r="A89">
        <v>0</v>
      </c>
      <c r="B89">
        <v>0</v>
      </c>
      <c r="C89">
        <v>0</v>
      </c>
      <c r="D89">
        <v>0</v>
      </c>
      <c r="E89" t="str">
        <f t="shared" si="4"/>
        <v>0,0</v>
      </c>
      <c r="F89">
        <f t="shared" si="5"/>
        <v>26</v>
      </c>
    </row>
    <row r="90" spans="1:6" x14ac:dyDescent="0.25">
      <c r="A90">
        <v>0</v>
      </c>
      <c r="B90">
        <v>0</v>
      </c>
      <c r="C90">
        <v>0</v>
      </c>
      <c r="D90">
        <v>0</v>
      </c>
      <c r="E90" t="str">
        <f t="shared" si="4"/>
        <v>0,0</v>
      </c>
      <c r="F90">
        <f t="shared" si="5"/>
        <v>26</v>
      </c>
    </row>
    <row r="91" spans="1:6" x14ac:dyDescent="0.25">
      <c r="A91">
        <v>0</v>
      </c>
      <c r="B91">
        <v>0</v>
      </c>
      <c r="C91">
        <v>0</v>
      </c>
      <c r="D91">
        <v>0</v>
      </c>
      <c r="E91" t="str">
        <f t="shared" si="4"/>
        <v>0,0</v>
      </c>
      <c r="F91">
        <f t="shared" si="5"/>
        <v>26</v>
      </c>
    </row>
    <row r="92" spans="1:6" x14ac:dyDescent="0.25">
      <c r="A92">
        <v>0</v>
      </c>
      <c r="B92">
        <v>0</v>
      </c>
      <c r="C92">
        <v>0</v>
      </c>
      <c r="D92">
        <v>0</v>
      </c>
      <c r="E92" t="str">
        <f t="shared" si="4"/>
        <v>0,0</v>
      </c>
      <c r="F92">
        <f t="shared" si="5"/>
        <v>26</v>
      </c>
    </row>
    <row r="93" spans="1:6" x14ac:dyDescent="0.25">
      <c r="A93">
        <v>0</v>
      </c>
      <c r="B93">
        <v>0</v>
      </c>
      <c r="C93">
        <v>0</v>
      </c>
      <c r="D93">
        <v>0</v>
      </c>
      <c r="E93" t="str">
        <f t="shared" si="4"/>
        <v>0,0</v>
      </c>
      <c r="F93">
        <f t="shared" si="5"/>
        <v>26</v>
      </c>
    </row>
    <row r="94" spans="1:6" x14ac:dyDescent="0.25">
      <c r="A94">
        <v>0</v>
      </c>
      <c r="B94">
        <v>0</v>
      </c>
      <c r="C94">
        <v>0</v>
      </c>
      <c r="D94">
        <v>0</v>
      </c>
      <c r="E94" t="str">
        <f t="shared" ref="E94:E95" si="6">CONCATENATE(B94,",",C94)</f>
        <v>0,0</v>
      </c>
      <c r="F94">
        <f t="shared" ref="F94:F95" si="7">IF(E94=E93,F93,F93+1)</f>
        <v>26</v>
      </c>
    </row>
    <row r="95" spans="1:6" x14ac:dyDescent="0.25">
      <c r="A95">
        <v>0</v>
      </c>
      <c r="B95">
        <v>0</v>
      </c>
      <c r="C95">
        <v>0</v>
      </c>
      <c r="D95">
        <v>0</v>
      </c>
      <c r="E95" t="str">
        <f t="shared" si="6"/>
        <v>0,0</v>
      </c>
      <c r="F95">
        <f t="shared" si="7"/>
        <v>26</v>
      </c>
    </row>
    <row r="96" spans="1:6" x14ac:dyDescent="0.25">
      <c r="A96">
        <v>0</v>
      </c>
      <c r="B96">
        <v>0</v>
      </c>
      <c r="C96">
        <v>0</v>
      </c>
      <c r="D96">
        <v>0</v>
      </c>
      <c r="E96" t="str">
        <f t="shared" ref="E96:E131" si="8">CONCATENATE(B96,",",C96)</f>
        <v>0,0</v>
      </c>
      <c r="F96">
        <f t="shared" ref="F96:F131" si="9">IF(E96=E95,F95,F95+1)</f>
        <v>26</v>
      </c>
    </row>
    <row r="97" spans="1:6" x14ac:dyDescent="0.25">
      <c r="A97">
        <v>0</v>
      </c>
      <c r="B97">
        <v>0</v>
      </c>
      <c r="C97">
        <v>0</v>
      </c>
      <c r="D97">
        <v>0</v>
      </c>
      <c r="E97" t="str">
        <f t="shared" si="8"/>
        <v>0,0</v>
      </c>
      <c r="F97">
        <f t="shared" si="9"/>
        <v>26</v>
      </c>
    </row>
    <row r="98" spans="1:6" x14ac:dyDescent="0.25">
      <c r="A98">
        <v>0</v>
      </c>
      <c r="B98">
        <v>0</v>
      </c>
      <c r="C98">
        <v>0</v>
      </c>
      <c r="D98">
        <v>0</v>
      </c>
      <c r="E98" t="str">
        <f t="shared" si="8"/>
        <v>0,0</v>
      </c>
      <c r="F98">
        <f t="shared" si="9"/>
        <v>26</v>
      </c>
    </row>
    <row r="99" spans="1:6" x14ac:dyDescent="0.25">
      <c r="A99">
        <v>0</v>
      </c>
      <c r="B99">
        <v>0</v>
      </c>
      <c r="C99">
        <v>0</v>
      </c>
      <c r="D99">
        <v>0</v>
      </c>
      <c r="E99" t="str">
        <f t="shared" si="8"/>
        <v>0,0</v>
      </c>
      <c r="F99">
        <f t="shared" si="9"/>
        <v>26</v>
      </c>
    </row>
    <row r="100" spans="1:6" x14ac:dyDescent="0.25">
      <c r="A100">
        <v>0</v>
      </c>
      <c r="B100">
        <v>0</v>
      </c>
      <c r="C100">
        <v>0</v>
      </c>
      <c r="D100">
        <v>0</v>
      </c>
      <c r="E100" t="str">
        <f t="shared" si="8"/>
        <v>0,0</v>
      </c>
      <c r="F100">
        <f t="shared" si="9"/>
        <v>26</v>
      </c>
    </row>
    <row r="101" spans="1:6" x14ac:dyDescent="0.25">
      <c r="A101">
        <v>0</v>
      </c>
      <c r="B101">
        <v>0</v>
      </c>
      <c r="C101">
        <v>0</v>
      </c>
      <c r="D101">
        <v>0</v>
      </c>
      <c r="E101" t="str">
        <f t="shared" si="8"/>
        <v>0,0</v>
      </c>
      <c r="F101">
        <f t="shared" si="9"/>
        <v>26</v>
      </c>
    </row>
    <row r="102" spans="1:6" x14ac:dyDescent="0.25">
      <c r="A102">
        <v>0</v>
      </c>
      <c r="B102">
        <v>0</v>
      </c>
      <c r="C102">
        <v>0</v>
      </c>
      <c r="D102">
        <v>0</v>
      </c>
      <c r="E102" t="str">
        <f t="shared" si="8"/>
        <v>0,0</v>
      </c>
      <c r="F102">
        <f t="shared" si="9"/>
        <v>26</v>
      </c>
    </row>
    <row r="103" spans="1:6" x14ac:dyDescent="0.25">
      <c r="A103">
        <v>0</v>
      </c>
      <c r="B103">
        <v>0</v>
      </c>
      <c r="C103">
        <v>0</v>
      </c>
      <c r="D103">
        <v>0</v>
      </c>
      <c r="E103" t="str">
        <f t="shared" si="8"/>
        <v>0,0</v>
      </c>
      <c r="F103">
        <f t="shared" si="9"/>
        <v>26</v>
      </c>
    </row>
    <row r="104" spans="1:6" x14ac:dyDescent="0.25">
      <c r="A104">
        <v>0</v>
      </c>
      <c r="B104">
        <v>0</v>
      </c>
      <c r="C104">
        <v>0</v>
      </c>
      <c r="D104">
        <v>0</v>
      </c>
      <c r="E104" t="str">
        <f t="shared" si="8"/>
        <v>0,0</v>
      </c>
      <c r="F104">
        <f t="shared" si="9"/>
        <v>26</v>
      </c>
    </row>
    <row r="105" spans="1:6" x14ac:dyDescent="0.25">
      <c r="A105">
        <v>0</v>
      </c>
      <c r="B105">
        <v>0</v>
      </c>
      <c r="C105">
        <v>0</v>
      </c>
      <c r="D105">
        <v>0</v>
      </c>
      <c r="E105" t="str">
        <f t="shared" si="8"/>
        <v>0,0</v>
      </c>
      <c r="F105">
        <f t="shared" si="9"/>
        <v>26</v>
      </c>
    </row>
    <row r="106" spans="1:6" x14ac:dyDescent="0.25">
      <c r="A106">
        <v>0</v>
      </c>
      <c r="B106">
        <v>0</v>
      </c>
      <c r="C106">
        <v>0</v>
      </c>
      <c r="D106">
        <v>0</v>
      </c>
      <c r="E106" t="str">
        <f t="shared" si="8"/>
        <v>0,0</v>
      </c>
      <c r="F106">
        <f t="shared" si="9"/>
        <v>26</v>
      </c>
    </row>
    <row r="107" spans="1:6" x14ac:dyDescent="0.25">
      <c r="A107">
        <v>0</v>
      </c>
      <c r="B107">
        <v>0</v>
      </c>
      <c r="C107">
        <v>0</v>
      </c>
      <c r="D107">
        <v>0</v>
      </c>
      <c r="E107" t="str">
        <f t="shared" si="8"/>
        <v>0,0</v>
      </c>
      <c r="F107">
        <f t="shared" si="9"/>
        <v>26</v>
      </c>
    </row>
    <row r="108" spans="1:6" x14ac:dyDescent="0.25">
      <c r="A108">
        <v>0</v>
      </c>
      <c r="B108">
        <v>0</v>
      </c>
      <c r="C108">
        <v>0</v>
      </c>
      <c r="D108">
        <v>0</v>
      </c>
      <c r="E108" t="str">
        <f t="shared" si="8"/>
        <v>0,0</v>
      </c>
      <c r="F108">
        <f t="shared" si="9"/>
        <v>26</v>
      </c>
    </row>
    <row r="109" spans="1:6" x14ac:dyDescent="0.25">
      <c r="A109">
        <v>0</v>
      </c>
      <c r="B109">
        <v>0</v>
      </c>
      <c r="C109">
        <v>0</v>
      </c>
      <c r="D109">
        <v>0</v>
      </c>
      <c r="E109" t="str">
        <f t="shared" si="8"/>
        <v>0,0</v>
      </c>
      <c r="F109">
        <f t="shared" si="9"/>
        <v>26</v>
      </c>
    </row>
    <row r="110" spans="1:6" x14ac:dyDescent="0.25">
      <c r="A110">
        <v>0</v>
      </c>
      <c r="B110">
        <v>0</v>
      </c>
      <c r="C110">
        <v>0</v>
      </c>
      <c r="D110">
        <v>0</v>
      </c>
      <c r="E110" t="str">
        <f t="shared" si="8"/>
        <v>0,0</v>
      </c>
      <c r="F110">
        <f t="shared" si="9"/>
        <v>26</v>
      </c>
    </row>
    <row r="111" spans="1:6" x14ac:dyDescent="0.25">
      <c r="A111">
        <v>0</v>
      </c>
      <c r="B111">
        <v>0</v>
      </c>
      <c r="C111">
        <v>0</v>
      </c>
      <c r="D111">
        <v>0</v>
      </c>
      <c r="E111" t="str">
        <f t="shared" si="8"/>
        <v>0,0</v>
      </c>
      <c r="F111">
        <f t="shared" si="9"/>
        <v>26</v>
      </c>
    </row>
    <row r="112" spans="1:6" x14ac:dyDescent="0.25">
      <c r="A112">
        <v>0</v>
      </c>
      <c r="B112">
        <v>0</v>
      </c>
      <c r="C112">
        <v>0</v>
      </c>
      <c r="D112">
        <v>0</v>
      </c>
      <c r="E112" t="str">
        <f t="shared" si="8"/>
        <v>0,0</v>
      </c>
      <c r="F112">
        <f t="shared" si="9"/>
        <v>26</v>
      </c>
    </row>
    <row r="113" spans="1:6" x14ac:dyDescent="0.25">
      <c r="A113">
        <v>0</v>
      </c>
      <c r="B113">
        <v>0</v>
      </c>
      <c r="C113">
        <v>0</v>
      </c>
      <c r="D113">
        <v>0</v>
      </c>
      <c r="E113" t="str">
        <f t="shared" si="8"/>
        <v>0,0</v>
      </c>
      <c r="F113">
        <f t="shared" si="9"/>
        <v>26</v>
      </c>
    </row>
    <row r="114" spans="1:6" x14ac:dyDescent="0.25">
      <c r="A114">
        <v>0</v>
      </c>
      <c r="B114">
        <v>0</v>
      </c>
      <c r="C114">
        <v>0</v>
      </c>
      <c r="D114">
        <v>0</v>
      </c>
      <c r="E114" t="str">
        <f t="shared" si="8"/>
        <v>0,0</v>
      </c>
      <c r="F114">
        <f t="shared" si="9"/>
        <v>26</v>
      </c>
    </row>
    <row r="115" spans="1:6" x14ac:dyDescent="0.25">
      <c r="A115">
        <v>0</v>
      </c>
      <c r="B115">
        <v>0</v>
      </c>
      <c r="C115">
        <v>0</v>
      </c>
      <c r="D115">
        <v>0</v>
      </c>
      <c r="E115" t="str">
        <f t="shared" si="8"/>
        <v>0,0</v>
      </c>
      <c r="F115">
        <f t="shared" si="9"/>
        <v>26</v>
      </c>
    </row>
    <row r="116" spans="1:6" x14ac:dyDescent="0.25">
      <c r="A116">
        <v>0</v>
      </c>
      <c r="B116">
        <v>0</v>
      </c>
      <c r="C116">
        <v>0</v>
      </c>
      <c r="D116">
        <v>0</v>
      </c>
      <c r="E116" t="str">
        <f t="shared" si="8"/>
        <v>0,0</v>
      </c>
      <c r="F116">
        <f t="shared" si="9"/>
        <v>26</v>
      </c>
    </row>
    <row r="117" spans="1:6" x14ac:dyDescent="0.25">
      <c r="A117">
        <v>0</v>
      </c>
      <c r="B117">
        <v>0</v>
      </c>
      <c r="C117">
        <v>0</v>
      </c>
      <c r="D117">
        <v>0</v>
      </c>
      <c r="E117" t="str">
        <f t="shared" si="8"/>
        <v>0,0</v>
      </c>
      <c r="F117">
        <f t="shared" si="9"/>
        <v>26</v>
      </c>
    </row>
    <row r="118" spans="1:6" x14ac:dyDescent="0.25">
      <c r="A118">
        <v>0</v>
      </c>
      <c r="B118">
        <v>0</v>
      </c>
      <c r="C118">
        <v>0</v>
      </c>
      <c r="D118">
        <v>0</v>
      </c>
      <c r="E118" t="str">
        <f t="shared" si="8"/>
        <v>0,0</v>
      </c>
      <c r="F118">
        <f t="shared" si="9"/>
        <v>26</v>
      </c>
    </row>
    <row r="119" spans="1:6" x14ac:dyDescent="0.25">
      <c r="A119">
        <v>0</v>
      </c>
      <c r="B119">
        <v>0</v>
      </c>
      <c r="C119">
        <v>0</v>
      </c>
      <c r="D119">
        <v>0</v>
      </c>
      <c r="E119" t="str">
        <f t="shared" si="8"/>
        <v>0,0</v>
      </c>
      <c r="F119">
        <f t="shared" si="9"/>
        <v>26</v>
      </c>
    </row>
    <row r="120" spans="1:6" x14ac:dyDescent="0.25">
      <c r="A120">
        <v>0</v>
      </c>
      <c r="B120">
        <v>0</v>
      </c>
      <c r="C120">
        <v>0</v>
      </c>
      <c r="D120">
        <v>0</v>
      </c>
      <c r="E120" t="str">
        <f t="shared" si="8"/>
        <v>0,0</v>
      </c>
      <c r="F120">
        <f t="shared" si="9"/>
        <v>26</v>
      </c>
    </row>
    <row r="121" spans="1:6" x14ac:dyDescent="0.25">
      <c r="A121">
        <v>0</v>
      </c>
      <c r="B121">
        <v>0</v>
      </c>
      <c r="C121">
        <v>0</v>
      </c>
      <c r="D121">
        <v>0</v>
      </c>
      <c r="E121" t="str">
        <f t="shared" si="8"/>
        <v>0,0</v>
      </c>
      <c r="F121">
        <f t="shared" si="9"/>
        <v>26</v>
      </c>
    </row>
    <row r="122" spans="1:6" x14ac:dyDescent="0.25">
      <c r="A122">
        <v>0</v>
      </c>
      <c r="B122">
        <v>0</v>
      </c>
      <c r="C122">
        <v>0</v>
      </c>
      <c r="D122">
        <v>0</v>
      </c>
      <c r="E122" t="str">
        <f t="shared" si="8"/>
        <v>0,0</v>
      </c>
      <c r="F122">
        <f t="shared" si="9"/>
        <v>26</v>
      </c>
    </row>
    <row r="123" spans="1:6" x14ac:dyDescent="0.25">
      <c r="A123">
        <v>0</v>
      </c>
      <c r="B123">
        <v>0</v>
      </c>
      <c r="C123">
        <v>0</v>
      </c>
      <c r="D123">
        <v>0</v>
      </c>
      <c r="E123" t="str">
        <f t="shared" si="8"/>
        <v>0,0</v>
      </c>
      <c r="F123">
        <f t="shared" si="9"/>
        <v>26</v>
      </c>
    </row>
    <row r="124" spans="1:6" x14ac:dyDescent="0.25">
      <c r="A124">
        <v>0</v>
      </c>
      <c r="B124">
        <v>0</v>
      </c>
      <c r="C124">
        <v>0</v>
      </c>
      <c r="D124">
        <v>0</v>
      </c>
      <c r="E124" t="str">
        <f t="shared" si="8"/>
        <v>0,0</v>
      </c>
      <c r="F124">
        <f t="shared" si="9"/>
        <v>26</v>
      </c>
    </row>
    <row r="125" spans="1:6" x14ac:dyDescent="0.25">
      <c r="A125">
        <v>0</v>
      </c>
      <c r="B125">
        <v>0</v>
      </c>
      <c r="C125">
        <v>0</v>
      </c>
      <c r="D125">
        <v>0</v>
      </c>
      <c r="E125" t="str">
        <f t="shared" si="8"/>
        <v>0,0</v>
      </c>
      <c r="F125">
        <f t="shared" si="9"/>
        <v>26</v>
      </c>
    </row>
    <row r="126" spans="1:6" x14ac:dyDescent="0.25">
      <c r="A126">
        <v>0</v>
      </c>
      <c r="B126">
        <v>0</v>
      </c>
      <c r="C126">
        <v>0</v>
      </c>
      <c r="D126">
        <v>0</v>
      </c>
      <c r="E126" t="str">
        <f t="shared" si="8"/>
        <v>0,0</v>
      </c>
      <c r="F126">
        <f t="shared" si="9"/>
        <v>26</v>
      </c>
    </row>
    <row r="127" spans="1:6" x14ac:dyDescent="0.25">
      <c r="A127">
        <v>0</v>
      </c>
      <c r="B127">
        <v>0</v>
      </c>
      <c r="C127">
        <v>0</v>
      </c>
      <c r="D127">
        <v>0</v>
      </c>
      <c r="E127" t="str">
        <f t="shared" si="8"/>
        <v>0,0</v>
      </c>
      <c r="F127">
        <f t="shared" si="9"/>
        <v>26</v>
      </c>
    </row>
    <row r="128" spans="1:6" x14ac:dyDescent="0.25">
      <c r="A128">
        <v>0</v>
      </c>
      <c r="B128">
        <v>0</v>
      </c>
      <c r="C128">
        <v>0</v>
      </c>
      <c r="D128">
        <v>0</v>
      </c>
      <c r="E128" t="str">
        <f t="shared" si="8"/>
        <v>0,0</v>
      </c>
      <c r="F128">
        <f t="shared" si="9"/>
        <v>26</v>
      </c>
    </row>
    <row r="129" spans="1:6" x14ac:dyDescent="0.25">
      <c r="A129">
        <v>0</v>
      </c>
      <c r="B129">
        <v>0</v>
      </c>
      <c r="C129">
        <v>0</v>
      </c>
      <c r="D129">
        <v>0</v>
      </c>
      <c r="E129" t="str">
        <f t="shared" si="8"/>
        <v>0,0</v>
      </c>
      <c r="F129">
        <f t="shared" si="9"/>
        <v>26</v>
      </c>
    </row>
    <row r="130" spans="1:6" x14ac:dyDescent="0.25">
      <c r="A130">
        <v>0</v>
      </c>
      <c r="B130">
        <v>0</v>
      </c>
      <c r="C130">
        <v>0</v>
      </c>
      <c r="D130">
        <v>0</v>
      </c>
      <c r="E130" t="str">
        <f t="shared" si="8"/>
        <v>0,0</v>
      </c>
      <c r="F130">
        <f t="shared" si="9"/>
        <v>26</v>
      </c>
    </row>
    <row r="131" spans="1:6" x14ac:dyDescent="0.25">
      <c r="A131">
        <v>0</v>
      </c>
      <c r="B131">
        <v>0</v>
      </c>
      <c r="C131">
        <v>0</v>
      </c>
      <c r="D131">
        <v>0</v>
      </c>
      <c r="E131" t="str">
        <f t="shared" si="8"/>
        <v>0,0</v>
      </c>
      <c r="F131">
        <f t="shared" si="9"/>
        <v>26</v>
      </c>
    </row>
    <row r="132" spans="1:6" x14ac:dyDescent="0.25">
      <c r="A132">
        <v>0</v>
      </c>
      <c r="B132">
        <v>0</v>
      </c>
      <c r="C132">
        <v>0</v>
      </c>
      <c r="D132">
        <v>0</v>
      </c>
    </row>
    <row r="133" spans="1:6" x14ac:dyDescent="0.25">
      <c r="A133">
        <v>0</v>
      </c>
      <c r="B133">
        <v>0</v>
      </c>
      <c r="C133">
        <v>0</v>
      </c>
      <c r="D133">
        <v>0</v>
      </c>
    </row>
    <row r="134" spans="1:6" x14ac:dyDescent="0.25">
      <c r="A134">
        <v>0</v>
      </c>
      <c r="B134">
        <v>0</v>
      </c>
      <c r="C134">
        <v>0</v>
      </c>
      <c r="D134">
        <v>0</v>
      </c>
    </row>
    <row r="135" spans="1:6" x14ac:dyDescent="0.25">
      <c r="A135">
        <v>0</v>
      </c>
      <c r="B135">
        <v>0</v>
      </c>
      <c r="C135">
        <v>0</v>
      </c>
      <c r="D135">
        <v>0</v>
      </c>
    </row>
    <row r="136" spans="1:6" x14ac:dyDescent="0.25">
      <c r="A136">
        <v>0</v>
      </c>
      <c r="B136">
        <v>0</v>
      </c>
      <c r="C136">
        <v>0</v>
      </c>
      <c r="D136">
        <v>0</v>
      </c>
    </row>
    <row r="137" spans="1:6" x14ac:dyDescent="0.25">
      <c r="A137">
        <v>0</v>
      </c>
      <c r="B137">
        <v>0</v>
      </c>
      <c r="C137">
        <v>0</v>
      </c>
      <c r="D137">
        <v>0</v>
      </c>
    </row>
    <row r="138" spans="1:6" x14ac:dyDescent="0.25">
      <c r="A138">
        <v>0</v>
      </c>
      <c r="B138">
        <v>0</v>
      </c>
      <c r="C138">
        <v>0</v>
      </c>
      <c r="D138">
        <v>0</v>
      </c>
    </row>
    <row r="139" spans="1:6" x14ac:dyDescent="0.25">
      <c r="A139">
        <v>0</v>
      </c>
      <c r="B139">
        <v>0</v>
      </c>
      <c r="C139">
        <v>0</v>
      </c>
      <c r="D139">
        <v>0</v>
      </c>
    </row>
    <row r="140" spans="1:6" x14ac:dyDescent="0.25">
      <c r="A140">
        <v>0</v>
      </c>
      <c r="B140">
        <v>0</v>
      </c>
      <c r="C140">
        <v>0</v>
      </c>
      <c r="D140">
        <v>0</v>
      </c>
    </row>
    <row r="141" spans="1:6" x14ac:dyDescent="0.25">
      <c r="A141">
        <v>0</v>
      </c>
      <c r="B141">
        <v>0</v>
      </c>
      <c r="C141">
        <v>0</v>
      </c>
      <c r="D141">
        <v>0</v>
      </c>
    </row>
    <row r="142" spans="1:6" x14ac:dyDescent="0.25">
      <c r="A142">
        <v>0</v>
      </c>
      <c r="B142">
        <v>0</v>
      </c>
      <c r="C142">
        <v>0</v>
      </c>
      <c r="D142">
        <v>0</v>
      </c>
    </row>
    <row r="143" spans="1:6" x14ac:dyDescent="0.25">
      <c r="A143">
        <v>0</v>
      </c>
      <c r="B143">
        <v>0</v>
      </c>
      <c r="C143">
        <v>0</v>
      </c>
      <c r="D143">
        <v>0</v>
      </c>
    </row>
    <row r="144" spans="1:6" x14ac:dyDescent="0.25">
      <c r="A144">
        <v>0</v>
      </c>
      <c r="B144">
        <v>0</v>
      </c>
      <c r="C144">
        <v>0</v>
      </c>
      <c r="D144">
        <v>0</v>
      </c>
    </row>
    <row r="145" spans="1:4" x14ac:dyDescent="0.25">
      <c r="A145">
        <v>0</v>
      </c>
      <c r="B145">
        <v>0</v>
      </c>
      <c r="C145">
        <v>0</v>
      </c>
      <c r="D145">
        <v>0</v>
      </c>
    </row>
    <row r="146" spans="1:4" x14ac:dyDescent="0.25">
      <c r="A146">
        <v>0</v>
      </c>
      <c r="B146">
        <v>0</v>
      </c>
      <c r="C146">
        <v>0</v>
      </c>
      <c r="D146">
        <v>0</v>
      </c>
    </row>
    <row r="147" spans="1:4" x14ac:dyDescent="0.25">
      <c r="A147">
        <v>0</v>
      </c>
      <c r="B147">
        <v>0</v>
      </c>
      <c r="C147">
        <v>0</v>
      </c>
      <c r="D147">
        <v>0</v>
      </c>
    </row>
    <row r="148" spans="1:4" x14ac:dyDescent="0.25">
      <c r="A148">
        <v>0</v>
      </c>
      <c r="B148">
        <v>0</v>
      </c>
      <c r="C148">
        <v>0</v>
      </c>
      <c r="D148">
        <v>0</v>
      </c>
    </row>
    <row r="149" spans="1:4" x14ac:dyDescent="0.25">
      <c r="A149">
        <v>0</v>
      </c>
      <c r="B149">
        <v>0</v>
      </c>
      <c r="C149">
        <v>0</v>
      </c>
      <c r="D149">
        <v>0</v>
      </c>
    </row>
    <row r="150" spans="1:4" x14ac:dyDescent="0.25">
      <c r="A150">
        <v>0</v>
      </c>
      <c r="B150">
        <v>0</v>
      </c>
      <c r="C150">
        <v>0</v>
      </c>
      <c r="D150">
        <v>0</v>
      </c>
    </row>
    <row r="151" spans="1:4" x14ac:dyDescent="0.25">
      <c r="A151">
        <v>0</v>
      </c>
      <c r="B151">
        <v>0</v>
      </c>
      <c r="C151">
        <v>0</v>
      </c>
      <c r="D151">
        <v>0</v>
      </c>
    </row>
    <row r="152" spans="1:4" x14ac:dyDescent="0.25">
      <c r="A152">
        <v>0</v>
      </c>
      <c r="B152">
        <v>0</v>
      </c>
      <c r="C152">
        <v>0</v>
      </c>
      <c r="D152">
        <v>0</v>
      </c>
    </row>
    <row r="153" spans="1:4" x14ac:dyDescent="0.25">
      <c r="A153">
        <v>0</v>
      </c>
      <c r="B153">
        <v>0</v>
      </c>
      <c r="C153">
        <v>0</v>
      </c>
      <c r="D153">
        <v>0</v>
      </c>
    </row>
    <row r="154" spans="1:4" x14ac:dyDescent="0.25">
      <c r="A154">
        <v>0</v>
      </c>
      <c r="B154">
        <v>0</v>
      </c>
      <c r="C154">
        <v>0</v>
      </c>
      <c r="D154">
        <v>0</v>
      </c>
    </row>
    <row r="155" spans="1:4" x14ac:dyDescent="0.25">
      <c r="A155">
        <v>0</v>
      </c>
      <c r="B155">
        <v>0</v>
      </c>
      <c r="C155">
        <v>0</v>
      </c>
      <c r="D155">
        <v>0</v>
      </c>
    </row>
    <row r="156" spans="1:4" x14ac:dyDescent="0.25">
      <c r="A156">
        <v>0</v>
      </c>
      <c r="B156">
        <v>0</v>
      </c>
      <c r="C156">
        <v>0</v>
      </c>
      <c r="D156">
        <v>0</v>
      </c>
    </row>
    <row r="157" spans="1:4" x14ac:dyDescent="0.25">
      <c r="A157">
        <v>0</v>
      </c>
      <c r="B157">
        <v>0</v>
      </c>
      <c r="C157">
        <v>0</v>
      </c>
      <c r="D157">
        <v>0</v>
      </c>
    </row>
    <row r="158" spans="1:4" x14ac:dyDescent="0.25">
      <c r="A158">
        <v>0</v>
      </c>
      <c r="B158">
        <v>0</v>
      </c>
      <c r="C158">
        <v>0</v>
      </c>
      <c r="D158">
        <v>0</v>
      </c>
    </row>
    <row r="159" spans="1:4" x14ac:dyDescent="0.25">
      <c r="A159">
        <v>0</v>
      </c>
      <c r="B159">
        <v>0</v>
      </c>
      <c r="C159">
        <v>0</v>
      </c>
      <c r="D159">
        <v>0</v>
      </c>
    </row>
    <row r="160" spans="1:4" x14ac:dyDescent="0.25">
      <c r="A160">
        <v>0</v>
      </c>
      <c r="B160">
        <v>0</v>
      </c>
      <c r="C160">
        <v>0</v>
      </c>
      <c r="D160">
        <v>0</v>
      </c>
    </row>
    <row r="161" spans="1:4" x14ac:dyDescent="0.25">
      <c r="A161">
        <v>0</v>
      </c>
      <c r="B161">
        <v>0</v>
      </c>
      <c r="C161">
        <v>0</v>
      </c>
      <c r="D161">
        <v>0</v>
      </c>
    </row>
    <row r="162" spans="1:4" x14ac:dyDescent="0.25">
      <c r="A162">
        <v>0</v>
      </c>
      <c r="B162">
        <v>0</v>
      </c>
      <c r="C162">
        <v>0</v>
      </c>
      <c r="D162">
        <v>0</v>
      </c>
    </row>
    <row r="163" spans="1:4" x14ac:dyDescent="0.25">
      <c r="A163">
        <v>0</v>
      </c>
      <c r="B163">
        <v>0</v>
      </c>
      <c r="C163">
        <v>0</v>
      </c>
      <c r="D163">
        <v>0</v>
      </c>
    </row>
    <row r="164" spans="1:4" x14ac:dyDescent="0.25">
      <c r="A164">
        <v>0</v>
      </c>
      <c r="B164">
        <v>0</v>
      </c>
      <c r="C164">
        <v>0</v>
      </c>
      <c r="D164">
        <v>0</v>
      </c>
    </row>
    <row r="165" spans="1:4" x14ac:dyDescent="0.25">
      <c r="A165">
        <v>0</v>
      </c>
      <c r="B165">
        <v>0</v>
      </c>
      <c r="C165">
        <v>0</v>
      </c>
      <c r="D165">
        <v>0</v>
      </c>
    </row>
    <row r="166" spans="1:4" x14ac:dyDescent="0.25">
      <c r="A166">
        <v>0</v>
      </c>
      <c r="B166">
        <v>0</v>
      </c>
      <c r="C166">
        <v>0</v>
      </c>
      <c r="D166">
        <v>0</v>
      </c>
    </row>
    <row r="167" spans="1:4" x14ac:dyDescent="0.25">
      <c r="A167">
        <v>0</v>
      </c>
      <c r="B167">
        <v>0</v>
      </c>
      <c r="C167">
        <v>0</v>
      </c>
      <c r="D167">
        <v>0</v>
      </c>
    </row>
    <row r="168" spans="1:4" x14ac:dyDescent="0.25">
      <c r="A168">
        <v>0</v>
      </c>
      <c r="B168">
        <v>0</v>
      </c>
      <c r="C168">
        <v>0</v>
      </c>
      <c r="D168">
        <v>0</v>
      </c>
    </row>
    <row r="169" spans="1:4" x14ac:dyDescent="0.25">
      <c r="A169">
        <v>0</v>
      </c>
      <c r="B169">
        <v>0</v>
      </c>
      <c r="C169">
        <v>0</v>
      </c>
      <c r="D169">
        <v>0</v>
      </c>
    </row>
    <row r="170" spans="1:4" x14ac:dyDescent="0.25">
      <c r="A170">
        <v>0</v>
      </c>
      <c r="B170">
        <v>0</v>
      </c>
      <c r="C170">
        <v>0</v>
      </c>
      <c r="D170">
        <v>0</v>
      </c>
    </row>
    <row r="171" spans="1:4" x14ac:dyDescent="0.25">
      <c r="A171">
        <v>0</v>
      </c>
      <c r="B171">
        <v>0</v>
      </c>
      <c r="C171">
        <v>0</v>
      </c>
      <c r="D171">
        <v>0</v>
      </c>
    </row>
    <row r="172" spans="1:4" x14ac:dyDescent="0.25">
      <c r="A172">
        <v>0</v>
      </c>
      <c r="B172">
        <v>0</v>
      </c>
      <c r="C172">
        <v>0</v>
      </c>
      <c r="D172">
        <v>0</v>
      </c>
    </row>
    <row r="173" spans="1:4" x14ac:dyDescent="0.25">
      <c r="A173">
        <v>0</v>
      </c>
      <c r="B173">
        <v>0</v>
      </c>
      <c r="C173">
        <v>0</v>
      </c>
      <c r="D173">
        <v>0</v>
      </c>
    </row>
    <row r="174" spans="1:4" x14ac:dyDescent="0.25">
      <c r="A174">
        <v>0</v>
      </c>
      <c r="B174">
        <v>0</v>
      </c>
      <c r="C174">
        <v>0</v>
      </c>
      <c r="D174">
        <v>0</v>
      </c>
    </row>
    <row r="175" spans="1:4" x14ac:dyDescent="0.25">
      <c r="A175">
        <v>0</v>
      </c>
      <c r="B175">
        <v>0</v>
      </c>
      <c r="C175">
        <v>0</v>
      </c>
      <c r="D175">
        <v>0</v>
      </c>
    </row>
    <row r="176" spans="1:4" x14ac:dyDescent="0.25">
      <c r="A176">
        <v>0</v>
      </c>
      <c r="B176">
        <v>0</v>
      </c>
      <c r="C176">
        <v>0</v>
      </c>
      <c r="D176">
        <v>0</v>
      </c>
    </row>
    <row r="177" spans="1:4" x14ac:dyDescent="0.25">
      <c r="A177">
        <v>0</v>
      </c>
      <c r="B177">
        <v>0</v>
      </c>
      <c r="C177">
        <v>0</v>
      </c>
      <c r="D177">
        <v>0</v>
      </c>
    </row>
    <row r="178" spans="1:4" x14ac:dyDescent="0.25">
      <c r="A178">
        <v>0</v>
      </c>
      <c r="B178">
        <v>0</v>
      </c>
      <c r="C178">
        <v>0</v>
      </c>
      <c r="D178">
        <v>0</v>
      </c>
    </row>
    <row r="179" spans="1:4" x14ac:dyDescent="0.25">
      <c r="A179">
        <v>0</v>
      </c>
      <c r="B179">
        <v>0</v>
      </c>
      <c r="C179">
        <v>0</v>
      </c>
      <c r="D179">
        <v>0</v>
      </c>
    </row>
    <row r="180" spans="1:4" x14ac:dyDescent="0.25">
      <c r="A180">
        <v>0</v>
      </c>
      <c r="B180">
        <v>0</v>
      </c>
      <c r="C180">
        <v>0</v>
      </c>
      <c r="D180">
        <v>0</v>
      </c>
    </row>
    <row r="181" spans="1:4" x14ac:dyDescent="0.25">
      <c r="A181">
        <v>0</v>
      </c>
      <c r="B181">
        <v>0</v>
      </c>
      <c r="C181">
        <v>0</v>
      </c>
      <c r="D181">
        <v>0</v>
      </c>
    </row>
    <row r="182" spans="1:4" x14ac:dyDescent="0.25">
      <c r="A182">
        <v>0</v>
      </c>
      <c r="B182">
        <v>0</v>
      </c>
      <c r="C182">
        <v>0</v>
      </c>
      <c r="D182">
        <v>0</v>
      </c>
    </row>
    <row r="183" spans="1:4" x14ac:dyDescent="0.25">
      <c r="A183">
        <v>0</v>
      </c>
      <c r="B183">
        <v>0</v>
      </c>
      <c r="C183">
        <v>0</v>
      </c>
      <c r="D183">
        <v>0</v>
      </c>
    </row>
    <row r="184" spans="1:4" x14ac:dyDescent="0.25">
      <c r="A184">
        <v>0</v>
      </c>
      <c r="B184">
        <v>0</v>
      </c>
      <c r="C184">
        <v>0</v>
      </c>
      <c r="D184">
        <v>0</v>
      </c>
    </row>
    <row r="185" spans="1:4" x14ac:dyDescent="0.25">
      <c r="A185">
        <v>0</v>
      </c>
      <c r="B185">
        <v>0</v>
      </c>
      <c r="C185">
        <v>0</v>
      </c>
      <c r="D185">
        <v>0</v>
      </c>
    </row>
    <row r="186" spans="1:4" x14ac:dyDescent="0.25">
      <c r="A186">
        <v>0</v>
      </c>
      <c r="B186">
        <v>0</v>
      </c>
      <c r="C186">
        <v>0</v>
      </c>
      <c r="D186">
        <v>0</v>
      </c>
    </row>
    <row r="187" spans="1:4" x14ac:dyDescent="0.25">
      <c r="A187">
        <v>0</v>
      </c>
      <c r="B187">
        <v>0</v>
      </c>
      <c r="C187">
        <v>0</v>
      </c>
      <c r="D187">
        <v>0</v>
      </c>
    </row>
    <row r="188" spans="1:4" x14ac:dyDescent="0.25">
      <c r="A188">
        <v>0</v>
      </c>
      <c r="B188">
        <v>0</v>
      </c>
      <c r="C188">
        <v>0</v>
      </c>
      <c r="D188">
        <v>0</v>
      </c>
    </row>
    <row r="189" spans="1:4" x14ac:dyDescent="0.25">
      <c r="A189">
        <v>0</v>
      </c>
      <c r="B189">
        <v>0</v>
      </c>
      <c r="C189">
        <v>0</v>
      </c>
      <c r="D189">
        <v>0</v>
      </c>
    </row>
    <row r="190" spans="1:4" x14ac:dyDescent="0.25">
      <c r="A190">
        <v>0</v>
      </c>
      <c r="B190">
        <v>0</v>
      </c>
      <c r="C190">
        <v>0</v>
      </c>
      <c r="D190">
        <v>0</v>
      </c>
    </row>
    <row r="191" spans="1:4" x14ac:dyDescent="0.25">
      <c r="A191">
        <v>0</v>
      </c>
      <c r="B191">
        <v>0</v>
      </c>
      <c r="C191">
        <v>0</v>
      </c>
      <c r="D191">
        <v>0</v>
      </c>
    </row>
    <row r="192" spans="1:4" x14ac:dyDescent="0.25">
      <c r="A192">
        <v>0</v>
      </c>
      <c r="B192">
        <v>0</v>
      </c>
      <c r="C192">
        <v>0</v>
      </c>
      <c r="D192">
        <v>0</v>
      </c>
    </row>
    <row r="193" spans="1:4" x14ac:dyDescent="0.25">
      <c r="A193">
        <v>0</v>
      </c>
      <c r="B193">
        <v>0</v>
      </c>
      <c r="C193">
        <v>0</v>
      </c>
      <c r="D193">
        <v>0</v>
      </c>
    </row>
    <row r="194" spans="1:4" x14ac:dyDescent="0.25">
      <c r="A194">
        <v>0</v>
      </c>
      <c r="B194">
        <v>0</v>
      </c>
      <c r="C194">
        <v>0</v>
      </c>
      <c r="D194">
        <v>0</v>
      </c>
    </row>
    <row r="195" spans="1:4" x14ac:dyDescent="0.25">
      <c r="A195">
        <v>0</v>
      </c>
      <c r="B195">
        <v>0</v>
      </c>
      <c r="C195">
        <v>0</v>
      </c>
      <c r="D195">
        <v>0</v>
      </c>
    </row>
    <row r="196" spans="1:4" x14ac:dyDescent="0.25">
      <c r="A196">
        <v>0</v>
      </c>
      <c r="B196">
        <v>0</v>
      </c>
      <c r="C196">
        <v>0</v>
      </c>
      <c r="D196">
        <v>0</v>
      </c>
    </row>
    <row r="197" spans="1:4" x14ac:dyDescent="0.25">
      <c r="A197">
        <v>0</v>
      </c>
      <c r="B197">
        <v>0</v>
      </c>
      <c r="C197">
        <v>0</v>
      </c>
      <c r="D197">
        <v>0</v>
      </c>
    </row>
    <row r="198" spans="1:4" x14ac:dyDescent="0.25">
      <c r="A198">
        <v>0</v>
      </c>
      <c r="B198">
        <v>0</v>
      </c>
      <c r="C198">
        <v>0</v>
      </c>
      <c r="D198">
        <v>0</v>
      </c>
    </row>
    <row r="199" spans="1:4" x14ac:dyDescent="0.25">
      <c r="A199">
        <v>0</v>
      </c>
      <c r="B199">
        <v>0</v>
      </c>
      <c r="C199">
        <v>0</v>
      </c>
      <c r="D199">
        <v>0</v>
      </c>
    </row>
    <row r="200" spans="1:4" x14ac:dyDescent="0.25">
      <c r="A200">
        <v>0</v>
      </c>
      <c r="B200">
        <v>0</v>
      </c>
      <c r="C200">
        <v>0</v>
      </c>
      <c r="D200">
        <v>0</v>
      </c>
    </row>
    <row r="201" spans="1:4" x14ac:dyDescent="0.25">
      <c r="A201">
        <v>0</v>
      </c>
      <c r="B201">
        <v>0</v>
      </c>
      <c r="C201">
        <v>0</v>
      </c>
      <c r="D201">
        <v>0</v>
      </c>
    </row>
  </sheetData>
  <autoFilter ref="A1:D1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6"/>
  <sheetViews>
    <sheetView workbookViewId="0">
      <selection activeCell="I17" sqref="I17"/>
    </sheetView>
  </sheetViews>
  <sheetFormatPr defaultRowHeight="15" x14ac:dyDescent="0.25"/>
  <cols>
    <col min="1" max="1" width="8.7109375" bestFit="1" customWidth="1"/>
  </cols>
  <sheetData>
    <row r="1" spans="1:9" x14ac:dyDescent="0.25"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26</v>
      </c>
    </row>
    <row r="2" spans="1:9" x14ac:dyDescent="0.25">
      <c r="A2" s="3" t="s">
        <v>21</v>
      </c>
      <c r="B2" s="4" t="s">
        <v>238</v>
      </c>
      <c r="C2" s="4" t="s">
        <v>239</v>
      </c>
      <c r="D2" s="4" t="s">
        <v>239</v>
      </c>
      <c r="E2" s="4" t="s">
        <v>240</v>
      </c>
      <c r="F2" s="4" t="s">
        <v>241</v>
      </c>
      <c r="G2" s="4" t="s">
        <v>28</v>
      </c>
      <c r="H2" s="4" t="s">
        <v>28</v>
      </c>
    </row>
    <row r="3" spans="1:9" x14ac:dyDescent="0.25">
      <c r="A3" s="3" t="s">
        <v>22</v>
      </c>
      <c r="B3" s="4" t="s">
        <v>242</v>
      </c>
      <c r="C3" s="4" t="s">
        <v>243</v>
      </c>
      <c r="D3" s="4" t="s">
        <v>244</v>
      </c>
      <c r="E3" s="4" t="s">
        <v>242</v>
      </c>
      <c r="F3" s="4" t="s">
        <v>245</v>
      </c>
      <c r="G3" s="4" t="s">
        <v>28</v>
      </c>
      <c r="H3" s="4" t="s">
        <v>28</v>
      </c>
    </row>
    <row r="4" spans="1:9" x14ac:dyDescent="0.25">
      <c r="A4" s="3" t="s">
        <v>23</v>
      </c>
      <c r="B4" s="4" t="s">
        <v>246</v>
      </c>
      <c r="C4" s="4" t="s">
        <v>247</v>
      </c>
      <c r="D4" s="4" t="s">
        <v>248</v>
      </c>
      <c r="E4" s="4" t="s">
        <v>249</v>
      </c>
      <c r="F4" s="4" t="s">
        <v>250</v>
      </c>
      <c r="G4" s="4" t="s">
        <v>28</v>
      </c>
      <c r="H4" s="4" t="s">
        <v>28</v>
      </c>
    </row>
    <row r="5" spans="1:9" x14ac:dyDescent="0.25">
      <c r="A5" s="3" t="s">
        <v>24</v>
      </c>
      <c r="B5" s="4" t="s">
        <v>244</v>
      </c>
      <c r="C5" s="4" t="s">
        <v>241</v>
      </c>
      <c r="D5" s="4" t="s">
        <v>251</v>
      </c>
      <c r="E5" s="4" t="s">
        <v>248</v>
      </c>
      <c r="F5" s="4" t="s">
        <v>243</v>
      </c>
      <c r="G5" s="4" t="s">
        <v>28</v>
      </c>
      <c r="H5" s="4" t="s">
        <v>28</v>
      </c>
    </row>
    <row r="6" spans="1:9" x14ac:dyDescent="0.25">
      <c r="A6" s="3" t="s">
        <v>25</v>
      </c>
      <c r="B6" s="4" t="s">
        <v>245</v>
      </c>
      <c r="C6" s="4" t="s">
        <v>240</v>
      </c>
      <c r="D6" s="4" t="s">
        <v>247</v>
      </c>
      <c r="E6" s="4" t="s">
        <v>238</v>
      </c>
      <c r="F6" s="4" t="s">
        <v>246</v>
      </c>
      <c r="G6" s="4" t="s">
        <v>28</v>
      </c>
      <c r="H6" s="4" t="s">
        <v>28</v>
      </c>
    </row>
    <row r="7" spans="1:9" x14ac:dyDescent="0.25">
      <c r="A7" s="3" t="s">
        <v>27</v>
      </c>
      <c r="B7" s="4" t="s">
        <v>28</v>
      </c>
      <c r="C7" s="4" t="s">
        <v>28</v>
      </c>
      <c r="D7" s="4" t="s">
        <v>28</v>
      </c>
      <c r="E7" s="4" t="s">
        <v>28</v>
      </c>
      <c r="F7" s="4" t="s">
        <v>28</v>
      </c>
      <c r="G7" s="4" t="s">
        <v>28</v>
      </c>
      <c r="H7" s="4" t="s">
        <v>28</v>
      </c>
    </row>
    <row r="8" spans="1:9" x14ac:dyDescent="0.25">
      <c r="A8" s="3"/>
      <c r="B8" s="4" t="s">
        <v>28</v>
      </c>
      <c r="C8" s="4" t="s">
        <v>28</v>
      </c>
      <c r="D8" s="4" t="s">
        <v>28</v>
      </c>
      <c r="E8" s="4" t="s">
        <v>28</v>
      </c>
      <c r="F8" s="4" t="s">
        <v>28</v>
      </c>
      <c r="G8" s="4" t="s">
        <v>28</v>
      </c>
      <c r="H8" s="4" t="s">
        <v>28</v>
      </c>
    </row>
    <row r="9" spans="1:9" x14ac:dyDescent="0.25">
      <c r="A9" s="14" t="s">
        <v>236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t="s">
        <v>20</v>
      </c>
      <c r="H9" t="s">
        <v>26</v>
      </c>
      <c r="I9" t="s">
        <v>237</v>
      </c>
    </row>
    <row r="10" spans="1:9" x14ac:dyDescent="0.25">
      <c r="A10" s="3" t="s">
        <v>21</v>
      </c>
      <c r="B10" s="13">
        <v>1</v>
      </c>
      <c r="C10" s="13">
        <v>0</v>
      </c>
      <c r="D10" s="13">
        <v>2</v>
      </c>
      <c r="E10" s="13">
        <v>0</v>
      </c>
      <c r="F10" s="13">
        <v>0</v>
      </c>
      <c r="G10" s="13">
        <v>0</v>
      </c>
      <c r="H10" s="13">
        <v>0</v>
      </c>
      <c r="I10" s="4">
        <f>SUM(B10:H10)</f>
        <v>3</v>
      </c>
    </row>
    <row r="11" spans="1:9" x14ac:dyDescent="0.25">
      <c r="A11" s="3" t="s">
        <v>22</v>
      </c>
      <c r="B11" s="13">
        <v>0</v>
      </c>
      <c r="C11" s="13">
        <v>2</v>
      </c>
      <c r="D11" s="13">
        <v>14</v>
      </c>
      <c r="E11" s="13">
        <v>0</v>
      </c>
      <c r="F11" s="13">
        <v>0</v>
      </c>
      <c r="G11" s="13">
        <v>0</v>
      </c>
      <c r="H11" s="13">
        <v>0</v>
      </c>
      <c r="I11" s="4">
        <f t="shared" ref="I11:I15" si="0">SUM(B11:H11)</f>
        <v>16</v>
      </c>
    </row>
    <row r="12" spans="1:9" x14ac:dyDescent="0.25">
      <c r="A12" s="3" t="s">
        <v>23</v>
      </c>
      <c r="B12" s="13">
        <v>4</v>
      </c>
      <c r="C12" s="13">
        <v>3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4">
        <f t="shared" si="0"/>
        <v>7</v>
      </c>
    </row>
    <row r="13" spans="1:9" x14ac:dyDescent="0.25">
      <c r="A13" s="3" t="s">
        <v>24</v>
      </c>
      <c r="B13" s="13">
        <v>0</v>
      </c>
      <c r="C13" s="13">
        <v>4</v>
      </c>
      <c r="D13" s="13">
        <v>1</v>
      </c>
      <c r="E13" s="13">
        <v>0</v>
      </c>
      <c r="F13" s="13">
        <v>0</v>
      </c>
      <c r="G13" s="13">
        <v>0</v>
      </c>
      <c r="H13" s="13">
        <v>0</v>
      </c>
      <c r="I13" s="4">
        <f t="shared" si="0"/>
        <v>5</v>
      </c>
    </row>
    <row r="14" spans="1:9" x14ac:dyDescent="0.25">
      <c r="A14" s="3" t="s">
        <v>25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4">
        <f t="shared" si="0"/>
        <v>0</v>
      </c>
    </row>
    <row r="15" spans="1:9" x14ac:dyDescent="0.25">
      <c r="A15" s="3" t="s">
        <v>27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4">
        <f t="shared" si="0"/>
        <v>0</v>
      </c>
    </row>
    <row r="16" spans="1:9" x14ac:dyDescent="0.25">
      <c r="A16" t="s">
        <v>237</v>
      </c>
      <c r="B16" s="4">
        <f>SUM(B10:B15)</f>
        <v>5</v>
      </c>
      <c r="C16" s="4">
        <f t="shared" ref="C16:H16" si="1">SUM(C10:C15)</f>
        <v>9</v>
      </c>
      <c r="D16" s="4">
        <f t="shared" si="1"/>
        <v>17</v>
      </c>
      <c r="E16" s="4">
        <f t="shared" si="1"/>
        <v>0</v>
      </c>
      <c r="F16" s="4">
        <f t="shared" si="1"/>
        <v>0</v>
      </c>
      <c r="G16" s="4">
        <f t="shared" si="1"/>
        <v>0</v>
      </c>
      <c r="H16" s="4">
        <f t="shared" si="1"/>
        <v>0</v>
      </c>
      <c r="I16" s="4">
        <f>SUM(B16:H16)</f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PopulateOverlapsInTemp">
          <controlPr defaultSize="0" autoLine="0" autoPict="0" r:id="rId5">
            <anchor moveWithCells="1">
              <from>
                <xdr:col>9</xdr:col>
                <xdr:colOff>466725</xdr:colOff>
                <xdr:row>9</xdr:row>
                <xdr:rowOff>85725</xdr:rowOff>
              </from>
              <to>
                <xdr:col>12</xdr:col>
                <xdr:colOff>238125</xdr:colOff>
                <xdr:row>10</xdr:row>
                <xdr:rowOff>171450</xdr:rowOff>
              </to>
            </anchor>
          </controlPr>
        </control>
      </mc:Choice>
      <mc:Fallback>
        <control shapeId="3073" r:id="rId4" name="PopulateOverlapsInTem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2"/>
  <sheetViews>
    <sheetView workbookViewId="0">
      <selection activeCell="E11" sqref="E11"/>
    </sheetView>
  </sheetViews>
  <sheetFormatPr defaultRowHeight="15" x14ac:dyDescent="0.25"/>
  <cols>
    <col min="1" max="1" width="57.42578125" customWidth="1"/>
    <col min="2" max="2" width="31.28515625" bestFit="1" customWidth="1"/>
    <col min="3" max="3" width="8.85546875" customWidth="1"/>
    <col min="5" max="5" width="17" bestFit="1" customWidth="1"/>
    <col min="6" max="6" width="10.28515625" customWidth="1"/>
  </cols>
  <sheetData>
    <row r="1" spans="1:6" x14ac:dyDescent="0.25">
      <c r="A1" s="11" t="s">
        <v>190</v>
      </c>
      <c r="B1" s="11" t="s">
        <v>179</v>
      </c>
    </row>
    <row r="2" spans="1:6" x14ac:dyDescent="0.25">
      <c r="A2" s="5" t="s">
        <v>29</v>
      </c>
      <c r="B2" t="s">
        <v>191</v>
      </c>
      <c r="E2" t="s">
        <v>30</v>
      </c>
      <c r="F2">
        <f>COUNTA(A:A)-1</f>
        <v>51</v>
      </c>
    </row>
    <row r="3" spans="1:6" x14ac:dyDescent="0.25">
      <c r="A3" s="5" t="s">
        <v>31</v>
      </c>
      <c r="B3" t="s">
        <v>191</v>
      </c>
    </row>
    <row r="4" spans="1:6" x14ac:dyDescent="0.25">
      <c r="A4" s="5" t="s">
        <v>32</v>
      </c>
      <c r="B4" t="s">
        <v>215</v>
      </c>
    </row>
    <row r="5" spans="1:6" x14ac:dyDescent="0.25">
      <c r="A5" s="5" t="s">
        <v>33</v>
      </c>
      <c r="B5" t="s">
        <v>215</v>
      </c>
    </row>
    <row r="6" spans="1:6" x14ac:dyDescent="0.25">
      <c r="A6" s="5" t="s">
        <v>34</v>
      </c>
      <c r="B6" t="s">
        <v>217</v>
      </c>
    </row>
    <row r="7" spans="1:6" x14ac:dyDescent="0.25">
      <c r="A7" s="5" t="s">
        <v>35</v>
      </c>
      <c r="B7" t="s">
        <v>202</v>
      </c>
    </row>
    <row r="8" spans="1:6" x14ac:dyDescent="0.25">
      <c r="A8" s="5" t="s">
        <v>36</v>
      </c>
      <c r="B8" t="s">
        <v>202</v>
      </c>
    </row>
    <row r="9" spans="1:6" x14ac:dyDescent="0.25">
      <c r="A9" s="5" t="s">
        <v>37</v>
      </c>
      <c r="B9" t="s">
        <v>211</v>
      </c>
    </row>
    <row r="10" spans="1:6" x14ac:dyDescent="0.25">
      <c r="A10" s="5" t="s">
        <v>38</v>
      </c>
      <c r="B10" t="s">
        <v>211</v>
      </c>
    </row>
    <row r="11" spans="1:6" x14ac:dyDescent="0.25">
      <c r="A11" s="6" t="s">
        <v>39</v>
      </c>
      <c r="B11" t="s">
        <v>224</v>
      </c>
    </row>
    <row r="12" spans="1:6" x14ac:dyDescent="0.25">
      <c r="A12" s="5" t="s">
        <v>40</v>
      </c>
      <c r="B12" t="s">
        <v>208</v>
      </c>
    </row>
    <row r="13" spans="1:6" x14ac:dyDescent="0.25">
      <c r="A13" s="5" t="s">
        <v>41</v>
      </c>
      <c r="B13" t="s">
        <v>208</v>
      </c>
    </row>
    <row r="14" spans="1:6" x14ac:dyDescent="0.25">
      <c r="A14" s="5" t="s">
        <v>42</v>
      </c>
      <c r="B14" t="s">
        <v>204</v>
      </c>
    </row>
    <row r="15" spans="1:6" x14ac:dyDescent="0.25">
      <c r="A15" s="5" t="s">
        <v>43</v>
      </c>
      <c r="B15" t="s">
        <v>212</v>
      </c>
    </row>
    <row r="16" spans="1:6" x14ac:dyDescent="0.25">
      <c r="A16" s="5" t="s">
        <v>44</v>
      </c>
      <c r="B16" t="s">
        <v>212</v>
      </c>
    </row>
    <row r="17" spans="1:2" x14ac:dyDescent="0.25">
      <c r="A17" s="5" t="s">
        <v>45</v>
      </c>
      <c r="B17" t="s">
        <v>194</v>
      </c>
    </row>
    <row r="18" spans="1:2" x14ac:dyDescent="0.25">
      <c r="A18" s="5" t="s">
        <v>46</v>
      </c>
      <c r="B18" t="s">
        <v>213</v>
      </c>
    </row>
    <row r="19" spans="1:2" x14ac:dyDescent="0.25">
      <c r="A19" s="5" t="s">
        <v>47</v>
      </c>
      <c r="B19" t="s">
        <v>193</v>
      </c>
    </row>
    <row r="20" spans="1:2" x14ac:dyDescent="0.25">
      <c r="A20" s="5" t="s">
        <v>48</v>
      </c>
      <c r="B20" t="s">
        <v>214</v>
      </c>
    </row>
    <row r="21" spans="1:2" x14ac:dyDescent="0.25">
      <c r="A21" s="5" t="s">
        <v>49</v>
      </c>
      <c r="B21" t="s">
        <v>214</v>
      </c>
    </row>
    <row r="22" spans="1:2" x14ac:dyDescent="0.25">
      <c r="A22" s="5" t="s">
        <v>50</v>
      </c>
      <c r="B22" t="s">
        <v>196</v>
      </c>
    </row>
    <row r="23" spans="1:2" x14ac:dyDescent="0.25">
      <c r="A23" s="5" t="s">
        <v>51</v>
      </c>
      <c r="B23" t="s">
        <v>199</v>
      </c>
    </row>
    <row r="24" spans="1:2" x14ac:dyDescent="0.25">
      <c r="A24" s="5" t="s">
        <v>52</v>
      </c>
      <c r="B24" t="s">
        <v>218</v>
      </c>
    </row>
    <row r="25" spans="1:2" x14ac:dyDescent="0.25">
      <c r="A25" s="5" t="s">
        <v>53</v>
      </c>
      <c r="B25" t="s">
        <v>205</v>
      </c>
    </row>
    <row r="26" spans="1:2" x14ac:dyDescent="0.25">
      <c r="A26" s="5" t="s">
        <v>54</v>
      </c>
      <c r="B26" t="s">
        <v>203</v>
      </c>
    </row>
    <row r="27" spans="1:2" x14ac:dyDescent="0.25">
      <c r="A27" s="6" t="s">
        <v>55</v>
      </c>
      <c r="B27" t="s">
        <v>229</v>
      </c>
    </row>
    <row r="28" spans="1:2" x14ac:dyDescent="0.25">
      <c r="A28" s="5" t="s">
        <v>56</v>
      </c>
      <c r="B28" t="s">
        <v>223</v>
      </c>
    </row>
    <row r="29" spans="1:2" x14ac:dyDescent="0.25">
      <c r="A29" s="5" t="s">
        <v>57</v>
      </c>
      <c r="B29" t="s">
        <v>223</v>
      </c>
    </row>
    <row r="30" spans="1:2" x14ac:dyDescent="0.25">
      <c r="A30" s="6" t="s">
        <v>58</v>
      </c>
      <c r="B30" t="s">
        <v>213</v>
      </c>
    </row>
    <row r="31" spans="1:2" x14ac:dyDescent="0.25">
      <c r="A31" s="5" t="s">
        <v>59</v>
      </c>
      <c r="B31" t="s">
        <v>192</v>
      </c>
    </row>
    <row r="32" spans="1:2" x14ac:dyDescent="0.25">
      <c r="A32" s="5" t="s">
        <v>60</v>
      </c>
      <c r="B32" t="s">
        <v>227</v>
      </c>
    </row>
    <row r="33" spans="1:2" x14ac:dyDescent="0.25">
      <c r="A33" s="5" t="s">
        <v>61</v>
      </c>
      <c r="B33" t="s">
        <v>216</v>
      </c>
    </row>
    <row r="34" spans="1:2" x14ac:dyDescent="0.25">
      <c r="A34" s="5" t="s">
        <v>62</v>
      </c>
      <c r="B34" t="s">
        <v>232</v>
      </c>
    </row>
    <row r="35" spans="1:2" x14ac:dyDescent="0.25">
      <c r="A35" s="5" t="s">
        <v>63</v>
      </c>
      <c r="B35" t="s">
        <v>232</v>
      </c>
    </row>
    <row r="36" spans="1:2" x14ac:dyDescent="0.25">
      <c r="A36" s="5" t="s">
        <v>64</v>
      </c>
      <c r="B36" t="s">
        <v>199</v>
      </c>
    </row>
    <row r="37" spans="1:2" x14ac:dyDescent="0.25">
      <c r="A37" s="5" t="s">
        <v>65</v>
      </c>
      <c r="B37" t="s">
        <v>220</v>
      </c>
    </row>
    <row r="38" spans="1:2" x14ac:dyDescent="0.25">
      <c r="A38" s="5" t="s">
        <v>66</v>
      </c>
      <c r="B38" t="s">
        <v>221</v>
      </c>
    </row>
    <row r="39" spans="1:2" x14ac:dyDescent="0.25">
      <c r="A39" s="6" t="s">
        <v>67</v>
      </c>
      <c r="B39" t="s">
        <v>222</v>
      </c>
    </row>
    <row r="40" spans="1:2" x14ac:dyDescent="0.25">
      <c r="A40" s="5" t="s">
        <v>68</v>
      </c>
      <c r="B40" t="s">
        <v>207</v>
      </c>
    </row>
    <row r="41" spans="1:2" x14ac:dyDescent="0.25">
      <c r="A41" s="5" t="s">
        <v>69</v>
      </c>
      <c r="B41" t="s">
        <v>207</v>
      </c>
    </row>
    <row r="42" spans="1:2" x14ac:dyDescent="0.25">
      <c r="A42" s="5" t="s">
        <v>70</v>
      </c>
      <c r="B42" t="s">
        <v>195</v>
      </c>
    </row>
    <row r="43" spans="1:2" x14ac:dyDescent="0.25">
      <c r="A43" s="6" t="s">
        <v>71</v>
      </c>
      <c r="B43" t="s">
        <v>225</v>
      </c>
    </row>
    <row r="44" spans="1:2" x14ac:dyDescent="0.25">
      <c r="A44" s="5" t="s">
        <v>72</v>
      </c>
      <c r="B44" t="s">
        <v>210</v>
      </c>
    </row>
    <row r="45" spans="1:2" x14ac:dyDescent="0.25">
      <c r="A45" s="5" t="s">
        <v>73</v>
      </c>
      <c r="B45" t="s">
        <v>209</v>
      </c>
    </row>
    <row r="46" spans="1:2" x14ac:dyDescent="0.25">
      <c r="A46" s="5" t="s">
        <v>74</v>
      </c>
      <c r="B46" t="s">
        <v>219</v>
      </c>
    </row>
    <row r="47" spans="1:2" x14ac:dyDescent="0.25">
      <c r="A47" s="5" t="s">
        <v>75</v>
      </c>
      <c r="B47" t="s">
        <v>219</v>
      </c>
    </row>
    <row r="48" spans="1:2" x14ac:dyDescent="0.25">
      <c r="A48" s="5" t="s">
        <v>76</v>
      </c>
      <c r="B48" t="s">
        <v>206</v>
      </c>
    </row>
    <row r="49" spans="1:2" x14ac:dyDescent="0.25">
      <c r="A49" s="5" t="s">
        <v>77</v>
      </c>
      <c r="B49" t="s">
        <v>231</v>
      </c>
    </row>
    <row r="50" spans="1:2" x14ac:dyDescent="0.25">
      <c r="A50" s="6" t="s">
        <v>78</v>
      </c>
      <c r="B50" t="s">
        <v>230</v>
      </c>
    </row>
    <row r="51" spans="1:2" x14ac:dyDescent="0.25">
      <c r="A51" s="5" t="s">
        <v>79</v>
      </c>
      <c r="B51" t="s">
        <v>198</v>
      </c>
    </row>
    <row r="52" spans="1:2" x14ac:dyDescent="0.25">
      <c r="A52" s="5" t="s">
        <v>80</v>
      </c>
      <c r="B52" t="s">
        <v>226</v>
      </c>
    </row>
  </sheetData>
  <dataValidations count="2">
    <dataValidation type="list" allowBlank="1" showInputMessage="1" showErrorMessage="1" errorTitle="Incorrect Entry" error="Selected professor must belong to the drop down list. Please add to &quot;Professors&quot; sheet if new professor." promptTitle="Select Professor" prompt="from the drop down list" sqref="D10 B45:B52 B2:B43">
      <formula1>ListOfProfs</formula1>
    </dataValidation>
    <dataValidation type="list" showInputMessage="1" showErrorMessage="1" errorTitle="Incorrect Entry" error="Selected professor must belong to the drop down list. Please add to &quot;Professors&quot; sheet if new professor." promptTitle="Select Professor" prompt="from the drop down list" sqref="B44">
      <formula1>ListOfProfs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90"/>
  <sheetViews>
    <sheetView workbookViewId="0">
      <selection activeCell="G7" sqref="G7"/>
    </sheetView>
  </sheetViews>
  <sheetFormatPr defaultRowHeight="15" x14ac:dyDescent="0.25"/>
  <cols>
    <col min="1" max="2" width="17.28515625" style="7" customWidth="1"/>
    <col min="3" max="3" width="27.28515625" bestFit="1" customWidth="1"/>
    <col min="4" max="4" width="31.28515625" bestFit="1" customWidth="1"/>
    <col min="5" max="5" width="6.28515625" bestFit="1" customWidth="1"/>
    <col min="7" max="7" width="18" bestFit="1" customWidth="1"/>
    <col min="8" max="8" width="3" bestFit="1" customWidth="1"/>
  </cols>
  <sheetData>
    <row r="1" spans="1:8" x14ac:dyDescent="0.25">
      <c r="A1" s="11" t="s">
        <v>178</v>
      </c>
      <c r="B1" s="11" t="s">
        <v>181</v>
      </c>
      <c r="C1" s="10" t="s">
        <v>179</v>
      </c>
      <c r="D1" s="10" t="s">
        <v>180</v>
      </c>
      <c r="E1" s="10" t="s">
        <v>14</v>
      </c>
      <c r="G1" s="10" t="s">
        <v>233</v>
      </c>
      <c r="H1" s="8">
        <f>COUNTA(D:D)-1</f>
        <v>89</v>
      </c>
    </row>
    <row r="2" spans="1:8" x14ac:dyDescent="0.25">
      <c r="A2" s="17" t="s">
        <v>168</v>
      </c>
      <c r="B2" s="9" t="s">
        <v>182</v>
      </c>
      <c r="C2" s="8" t="s">
        <v>81</v>
      </c>
      <c r="D2" s="8" t="str">
        <f>CONCATENATE(B2,",   ",C2)</f>
        <v>BS,   Abhishek Goel</v>
      </c>
      <c r="E2" s="8"/>
      <c r="G2" s="10" t="s">
        <v>234</v>
      </c>
      <c r="H2" s="8">
        <f>MAX(E:E)</f>
        <v>38</v>
      </c>
    </row>
    <row r="3" spans="1:8" x14ac:dyDescent="0.25">
      <c r="A3" s="17"/>
      <c r="B3" s="9" t="s">
        <v>182</v>
      </c>
      <c r="C3" s="8" t="s">
        <v>82</v>
      </c>
      <c r="D3" s="8" t="str">
        <f t="shared" ref="D3:D66" si="0">CONCATENATE(B3,",   ",C3)</f>
        <v>BS,   Bharatendu Nath Srivastava</v>
      </c>
      <c r="E3" s="8"/>
    </row>
    <row r="4" spans="1:8" x14ac:dyDescent="0.25">
      <c r="A4" s="17"/>
      <c r="B4" s="9" t="s">
        <v>182</v>
      </c>
      <c r="C4" s="8" t="s">
        <v>85</v>
      </c>
      <c r="D4" s="8" t="str">
        <f t="shared" si="0"/>
        <v>BS,   Chetan Joshi</v>
      </c>
      <c r="E4" s="8"/>
    </row>
    <row r="5" spans="1:8" x14ac:dyDescent="0.25">
      <c r="A5" s="17"/>
      <c r="B5" s="9" t="s">
        <v>182</v>
      </c>
      <c r="C5" s="8" t="s">
        <v>86</v>
      </c>
      <c r="D5" s="8" t="str">
        <f t="shared" si="0"/>
        <v>BS,   Devi Vijay</v>
      </c>
      <c r="E5" s="8">
        <v>10</v>
      </c>
    </row>
    <row r="6" spans="1:8" x14ac:dyDescent="0.25">
      <c r="A6" s="17"/>
      <c r="B6" s="9" t="s">
        <v>182</v>
      </c>
      <c r="C6" s="8" t="s">
        <v>83</v>
      </c>
      <c r="D6" s="8" t="str">
        <f t="shared" si="0"/>
        <v>BS,   Leena Chatterjee</v>
      </c>
      <c r="E6" s="8"/>
    </row>
    <row r="7" spans="1:8" x14ac:dyDescent="0.25">
      <c r="A7" s="17"/>
      <c r="B7" s="9" t="s">
        <v>182</v>
      </c>
      <c r="C7" s="8" t="s">
        <v>87</v>
      </c>
      <c r="D7" s="8" t="str">
        <f t="shared" si="0"/>
        <v>BS,   Nimruji Prasad Jammulamadaka</v>
      </c>
      <c r="E7" s="8">
        <v>12</v>
      </c>
    </row>
    <row r="8" spans="1:8" x14ac:dyDescent="0.25">
      <c r="A8" s="17"/>
      <c r="B8" s="9" t="s">
        <v>182</v>
      </c>
      <c r="C8" s="8" t="s">
        <v>84</v>
      </c>
      <c r="D8" s="8" t="str">
        <f t="shared" si="0"/>
        <v>BS,   Rajiv Kumar</v>
      </c>
      <c r="E8" s="8"/>
    </row>
    <row r="9" spans="1:8" x14ac:dyDescent="0.25">
      <c r="A9" s="17"/>
      <c r="B9" s="9" t="s">
        <v>182</v>
      </c>
      <c r="C9" s="8" t="s">
        <v>88</v>
      </c>
      <c r="D9" s="8" t="str">
        <f t="shared" si="0"/>
        <v>BS,   Vidyanand Jha</v>
      </c>
      <c r="E9" s="8">
        <v>21</v>
      </c>
    </row>
    <row r="10" spans="1:8" ht="14.45" customHeight="1" x14ac:dyDescent="0.25">
      <c r="A10" s="17" t="s">
        <v>169</v>
      </c>
      <c r="B10" s="9" t="s">
        <v>183</v>
      </c>
      <c r="C10" s="8" t="s">
        <v>89</v>
      </c>
      <c r="D10" s="8" t="str">
        <f t="shared" si="0"/>
        <v>Ethics,   Apoorva Bharadwaj</v>
      </c>
      <c r="E10" s="8"/>
    </row>
    <row r="11" spans="1:8" x14ac:dyDescent="0.25">
      <c r="A11" s="17"/>
      <c r="B11" s="9" t="s">
        <v>183</v>
      </c>
      <c r="C11" s="8" t="s">
        <v>90</v>
      </c>
      <c r="D11" s="8" t="str">
        <f t="shared" si="0"/>
        <v>Ethics,   C Panduranga Bhatta</v>
      </c>
      <c r="E11" s="8">
        <v>5</v>
      </c>
    </row>
    <row r="12" spans="1:8" x14ac:dyDescent="0.25">
      <c r="A12" s="17"/>
      <c r="B12" s="9" t="s">
        <v>183</v>
      </c>
      <c r="C12" s="8" t="s">
        <v>91</v>
      </c>
      <c r="D12" s="8" t="str">
        <f t="shared" si="0"/>
        <v>Ethics,   Nisigandha Bhuyan</v>
      </c>
      <c r="E12" s="8">
        <v>9</v>
      </c>
    </row>
    <row r="13" spans="1:8" x14ac:dyDescent="0.25">
      <c r="A13" s="17"/>
      <c r="B13" s="9" t="s">
        <v>183</v>
      </c>
      <c r="C13" s="8" t="s">
        <v>92</v>
      </c>
      <c r="D13" s="8" t="str">
        <f t="shared" si="0"/>
        <v>Ethics,   Pragyan Rath</v>
      </c>
      <c r="E13" s="8">
        <v>1</v>
      </c>
    </row>
    <row r="14" spans="1:8" x14ac:dyDescent="0.25">
      <c r="A14" s="17"/>
      <c r="B14" s="9" t="s">
        <v>183</v>
      </c>
      <c r="C14" s="8" t="s">
        <v>93</v>
      </c>
      <c r="D14" s="8" t="str">
        <f t="shared" si="0"/>
        <v>Ethics,   Shantanu Dey</v>
      </c>
      <c r="E14" s="8"/>
    </row>
    <row r="15" spans="1:8" x14ac:dyDescent="0.25">
      <c r="A15" s="15" t="s">
        <v>170</v>
      </c>
      <c r="B15" s="9" t="s">
        <v>170</v>
      </c>
      <c r="C15" s="8" t="s">
        <v>94</v>
      </c>
      <c r="D15" s="8" t="str">
        <f t="shared" si="0"/>
        <v>Economics,   Anindya Sen</v>
      </c>
      <c r="E15" s="8"/>
    </row>
    <row r="16" spans="1:8" x14ac:dyDescent="0.25">
      <c r="A16" s="16"/>
      <c r="B16" s="9" t="s">
        <v>170</v>
      </c>
      <c r="C16" s="8" t="s">
        <v>95</v>
      </c>
      <c r="D16" s="8" t="str">
        <f t="shared" si="0"/>
        <v>Economics,   Anup Kumar Sinha</v>
      </c>
      <c r="E16" s="8"/>
    </row>
    <row r="17" spans="1:5" x14ac:dyDescent="0.25">
      <c r="A17" s="16"/>
      <c r="B17" s="9" t="s">
        <v>170</v>
      </c>
      <c r="C17" s="8" t="s">
        <v>96</v>
      </c>
      <c r="D17" s="8" t="str">
        <f t="shared" si="0"/>
        <v>Economics,   Arijit Sen</v>
      </c>
      <c r="E17" s="8"/>
    </row>
    <row r="18" spans="1:5" x14ac:dyDescent="0.25">
      <c r="A18" s="16"/>
      <c r="B18" s="9" t="s">
        <v>170</v>
      </c>
      <c r="C18" s="8" t="s">
        <v>97</v>
      </c>
      <c r="D18" s="8" t="str">
        <f t="shared" si="0"/>
        <v>Economics,   Manisha Chakrabarty</v>
      </c>
      <c r="E18" s="8">
        <v>14</v>
      </c>
    </row>
    <row r="19" spans="1:5" x14ac:dyDescent="0.25">
      <c r="A19" s="16"/>
      <c r="B19" s="9" t="s">
        <v>170</v>
      </c>
      <c r="C19" s="8" t="s">
        <v>98</v>
      </c>
      <c r="D19" s="8" t="str">
        <f t="shared" si="0"/>
        <v>Economics,   Mritiunjoy Mohanty</v>
      </c>
      <c r="E19" s="8"/>
    </row>
    <row r="20" spans="1:5" x14ac:dyDescent="0.25">
      <c r="A20" s="16"/>
      <c r="B20" s="9" t="s">
        <v>170</v>
      </c>
      <c r="C20" s="8" t="s">
        <v>99</v>
      </c>
      <c r="D20" s="8" t="str">
        <f t="shared" si="0"/>
        <v>Economics,   Partha Ray</v>
      </c>
      <c r="E20" s="8"/>
    </row>
    <row r="21" spans="1:5" x14ac:dyDescent="0.25">
      <c r="A21" s="16"/>
      <c r="B21" s="9" t="s">
        <v>170</v>
      </c>
      <c r="C21" s="8" t="s">
        <v>100</v>
      </c>
      <c r="D21" s="8" t="str">
        <f t="shared" si="0"/>
        <v>Economics,   Parthapratim Pal</v>
      </c>
      <c r="E21" s="8"/>
    </row>
    <row r="22" spans="1:5" x14ac:dyDescent="0.25">
      <c r="A22" s="16"/>
      <c r="B22" s="9" t="s">
        <v>170</v>
      </c>
      <c r="C22" s="8" t="s">
        <v>101</v>
      </c>
      <c r="D22" s="8" t="str">
        <f t="shared" si="0"/>
        <v>Economics,   Runa Sarkar</v>
      </c>
      <c r="E22" s="8"/>
    </row>
    <row r="23" spans="1:5" x14ac:dyDescent="0.25">
      <c r="A23" s="16"/>
      <c r="B23" s="9" t="s">
        <v>170</v>
      </c>
      <c r="C23" s="8" t="s">
        <v>102</v>
      </c>
      <c r="D23" s="8" t="str">
        <f t="shared" si="0"/>
        <v>Economics,   Soumyen Sikdar</v>
      </c>
      <c r="E23" s="8">
        <v>29</v>
      </c>
    </row>
    <row r="24" spans="1:5" x14ac:dyDescent="0.25">
      <c r="A24" s="16"/>
      <c r="B24" s="9" t="s">
        <v>170</v>
      </c>
      <c r="C24" s="8" t="s">
        <v>103</v>
      </c>
      <c r="D24" s="8" t="str">
        <f t="shared" si="0"/>
        <v>Economics,   Sudip Chaudhuri</v>
      </c>
      <c r="E24" s="8"/>
    </row>
    <row r="25" spans="1:5" x14ac:dyDescent="0.25">
      <c r="A25" s="17" t="s">
        <v>171</v>
      </c>
      <c r="B25" s="9" t="s">
        <v>184</v>
      </c>
      <c r="C25" s="8" t="s">
        <v>104</v>
      </c>
      <c r="D25" s="8" t="str">
        <f t="shared" si="0"/>
        <v>Finance,   Arpita Ghosh</v>
      </c>
      <c r="E25" s="8"/>
    </row>
    <row r="26" spans="1:5" x14ac:dyDescent="0.25">
      <c r="A26" s="17"/>
      <c r="B26" s="9" t="s">
        <v>184</v>
      </c>
      <c r="C26" s="8" t="s">
        <v>105</v>
      </c>
      <c r="D26" s="8" t="str">
        <f t="shared" si="0"/>
        <v>Finance,   Ashok Banerjee</v>
      </c>
      <c r="E26" s="8">
        <v>8</v>
      </c>
    </row>
    <row r="27" spans="1:5" x14ac:dyDescent="0.25">
      <c r="A27" s="17"/>
      <c r="B27" s="9" t="s">
        <v>184</v>
      </c>
      <c r="C27" s="8" t="s">
        <v>106</v>
      </c>
      <c r="D27" s="8" t="str">
        <f t="shared" si="0"/>
        <v>Finance,   Binay Bhushan Chakrabarti</v>
      </c>
      <c r="E27" s="8">
        <v>15</v>
      </c>
    </row>
    <row r="28" spans="1:5" x14ac:dyDescent="0.25">
      <c r="A28" s="17"/>
      <c r="B28" s="9" t="s">
        <v>184</v>
      </c>
      <c r="C28" s="8" t="s">
        <v>107</v>
      </c>
      <c r="D28" s="8" t="str">
        <f t="shared" si="0"/>
        <v>Finance,   Dipankar Mitra</v>
      </c>
      <c r="E28" s="8"/>
    </row>
    <row r="29" spans="1:5" x14ac:dyDescent="0.25">
      <c r="A29" s="17"/>
      <c r="B29" s="9" t="s">
        <v>184</v>
      </c>
      <c r="C29" s="8" t="s">
        <v>108</v>
      </c>
      <c r="D29" s="8" t="str">
        <f t="shared" si="0"/>
        <v>Finance,   Manju Jaiswall</v>
      </c>
      <c r="E29" s="8"/>
    </row>
    <row r="30" spans="1:5" x14ac:dyDescent="0.25">
      <c r="A30" s="17"/>
      <c r="B30" s="9" t="s">
        <v>184</v>
      </c>
      <c r="C30" s="8" t="s">
        <v>109</v>
      </c>
      <c r="D30" s="8" t="str">
        <f t="shared" si="0"/>
        <v>Finance,   Nivedita Sinha</v>
      </c>
      <c r="E30" s="8">
        <v>18</v>
      </c>
    </row>
    <row r="31" spans="1:5" x14ac:dyDescent="0.25">
      <c r="A31" s="17"/>
      <c r="B31" s="9" t="s">
        <v>184</v>
      </c>
      <c r="C31" s="8" t="s">
        <v>110</v>
      </c>
      <c r="D31" s="8" t="str">
        <f t="shared" si="0"/>
        <v>Finance,   Purusottam Sen</v>
      </c>
      <c r="E31" s="8">
        <v>17</v>
      </c>
    </row>
    <row r="32" spans="1:5" x14ac:dyDescent="0.25">
      <c r="A32" s="17"/>
      <c r="B32" s="9" t="s">
        <v>184</v>
      </c>
      <c r="C32" s="8" t="s">
        <v>111</v>
      </c>
      <c r="D32" s="8" t="str">
        <f t="shared" si="0"/>
        <v>Finance,   Rama Seth</v>
      </c>
      <c r="E32" s="8"/>
    </row>
    <row r="33" spans="1:5" ht="14.45" customHeight="1" x14ac:dyDescent="0.25">
      <c r="A33" s="17" t="s">
        <v>172</v>
      </c>
      <c r="B33" s="9" t="s">
        <v>185</v>
      </c>
      <c r="C33" s="8" t="s">
        <v>112</v>
      </c>
      <c r="D33" s="8" t="str">
        <f t="shared" si="0"/>
        <v>HRM,   Amit Dhiman</v>
      </c>
      <c r="E33" s="8">
        <v>34</v>
      </c>
    </row>
    <row r="34" spans="1:5" x14ac:dyDescent="0.25">
      <c r="A34" s="17"/>
      <c r="B34" s="9" t="s">
        <v>185</v>
      </c>
      <c r="C34" s="8" t="s">
        <v>113</v>
      </c>
      <c r="D34" s="8" t="str">
        <f t="shared" si="0"/>
        <v>HRM,   Debashish Bhattacherjee</v>
      </c>
      <c r="E34" s="8">
        <v>37</v>
      </c>
    </row>
    <row r="35" spans="1:5" x14ac:dyDescent="0.25">
      <c r="A35" s="17"/>
      <c r="B35" s="9" t="s">
        <v>185</v>
      </c>
      <c r="C35" s="8" t="s">
        <v>114</v>
      </c>
      <c r="D35" s="8" t="str">
        <f t="shared" si="0"/>
        <v>HRM,   Prodip Kumar Sett</v>
      </c>
      <c r="E35" s="8">
        <v>22</v>
      </c>
    </row>
    <row r="36" spans="1:5" x14ac:dyDescent="0.25">
      <c r="A36" s="17"/>
      <c r="B36" s="9" t="s">
        <v>185</v>
      </c>
      <c r="C36" s="8" t="s">
        <v>115</v>
      </c>
      <c r="D36" s="8" t="str">
        <f t="shared" si="0"/>
        <v>HRM,   Pulak Das</v>
      </c>
      <c r="E36" s="8"/>
    </row>
    <row r="37" spans="1:5" ht="14.45" customHeight="1" x14ac:dyDescent="0.25">
      <c r="A37" s="17" t="s">
        <v>173</v>
      </c>
      <c r="B37" s="9" t="s">
        <v>186</v>
      </c>
      <c r="C37" s="8" t="s">
        <v>116</v>
      </c>
      <c r="D37" s="8" t="str">
        <f t="shared" si="0"/>
        <v>MIS,   Ambuj Mahanti</v>
      </c>
      <c r="E37" s="8">
        <v>33</v>
      </c>
    </row>
    <row r="38" spans="1:5" x14ac:dyDescent="0.25">
      <c r="A38" s="17"/>
      <c r="B38" s="9" t="s">
        <v>186</v>
      </c>
      <c r="C38" s="8" t="s">
        <v>117</v>
      </c>
      <c r="D38" s="8" t="str">
        <f t="shared" si="0"/>
        <v>MIS,   Anup K Sen</v>
      </c>
      <c r="E38" s="8"/>
    </row>
    <row r="39" spans="1:5" x14ac:dyDescent="0.25">
      <c r="A39" s="17"/>
      <c r="B39" s="9" t="s">
        <v>186</v>
      </c>
      <c r="C39" s="8" t="s">
        <v>118</v>
      </c>
      <c r="D39" s="8" t="str">
        <f t="shared" si="0"/>
        <v>MIS,   Asim K Pal</v>
      </c>
      <c r="E39" s="8">
        <v>23</v>
      </c>
    </row>
    <row r="40" spans="1:5" x14ac:dyDescent="0.25">
      <c r="A40" s="17"/>
      <c r="B40" s="9" t="s">
        <v>186</v>
      </c>
      <c r="C40" s="8" t="s">
        <v>119</v>
      </c>
      <c r="D40" s="8" t="str">
        <f t="shared" si="0"/>
        <v>MIS,   Debashis Saha</v>
      </c>
      <c r="E40" s="8"/>
    </row>
    <row r="41" spans="1:5" x14ac:dyDescent="0.25">
      <c r="A41" s="17"/>
      <c r="B41" s="9" t="s">
        <v>186</v>
      </c>
      <c r="C41" s="8" t="s">
        <v>120</v>
      </c>
      <c r="D41" s="8" t="str">
        <f t="shared" si="0"/>
        <v>MIS,   Indranil Bose</v>
      </c>
      <c r="E41" s="8">
        <v>16</v>
      </c>
    </row>
    <row r="42" spans="1:5" x14ac:dyDescent="0.25">
      <c r="A42" s="17"/>
      <c r="B42" s="9" t="s">
        <v>186</v>
      </c>
      <c r="C42" s="8" t="s">
        <v>121</v>
      </c>
      <c r="D42" s="8" t="str">
        <f t="shared" si="0"/>
        <v>MIS,   Parthasarathi Dasgupta</v>
      </c>
      <c r="E42" s="8">
        <v>13</v>
      </c>
    </row>
    <row r="43" spans="1:5" x14ac:dyDescent="0.25">
      <c r="A43" s="17"/>
      <c r="B43" s="9" t="s">
        <v>186</v>
      </c>
      <c r="C43" s="8" t="s">
        <v>122</v>
      </c>
      <c r="D43" s="8" t="str">
        <f t="shared" si="0"/>
        <v>MIS,   Priya Seetharaman</v>
      </c>
      <c r="E43" s="8"/>
    </row>
    <row r="44" spans="1:5" x14ac:dyDescent="0.25">
      <c r="A44" s="17"/>
      <c r="B44" s="9" t="s">
        <v>186</v>
      </c>
      <c r="C44" s="8" t="s">
        <v>123</v>
      </c>
      <c r="D44" s="8" t="str">
        <f t="shared" si="0"/>
        <v>MIS,   Rahul Roy</v>
      </c>
      <c r="E44" s="8">
        <v>3</v>
      </c>
    </row>
    <row r="45" spans="1:5" x14ac:dyDescent="0.25">
      <c r="A45" s="17"/>
      <c r="B45" s="9" t="s">
        <v>186</v>
      </c>
      <c r="C45" s="8" t="s">
        <v>124</v>
      </c>
      <c r="D45" s="8" t="str">
        <f t="shared" si="0"/>
        <v>MIS,   Sanjiv Damodar Vaidya</v>
      </c>
      <c r="E45" s="8">
        <v>11</v>
      </c>
    </row>
    <row r="46" spans="1:5" x14ac:dyDescent="0.25">
      <c r="A46" s="17"/>
      <c r="B46" s="9" t="s">
        <v>186</v>
      </c>
      <c r="C46" s="8" t="s">
        <v>125</v>
      </c>
      <c r="D46" s="8" t="str">
        <f t="shared" si="0"/>
        <v>MIS,   Somprakash Bandyopadhyay</v>
      </c>
      <c r="E46" s="8"/>
    </row>
    <row r="47" spans="1:5" x14ac:dyDescent="0.25">
      <c r="A47" s="17"/>
      <c r="B47" s="9" t="s">
        <v>186</v>
      </c>
      <c r="C47" s="8" t="s">
        <v>126</v>
      </c>
      <c r="D47" s="8" t="str">
        <f t="shared" si="0"/>
        <v>MIS,   Subir Bhattacharya</v>
      </c>
      <c r="E47" s="8"/>
    </row>
    <row r="48" spans="1:5" x14ac:dyDescent="0.25">
      <c r="A48" s="17"/>
      <c r="B48" s="9" t="s">
        <v>186</v>
      </c>
      <c r="C48" s="8" t="s">
        <v>127</v>
      </c>
      <c r="D48" s="8" t="str">
        <f t="shared" si="0"/>
        <v>MIS,   Uttam K Sarkar</v>
      </c>
      <c r="E48" s="8">
        <v>2</v>
      </c>
    </row>
    <row r="49" spans="1:5" x14ac:dyDescent="0.25">
      <c r="A49" s="17" t="s">
        <v>174</v>
      </c>
      <c r="B49" s="9" t="s">
        <v>174</v>
      </c>
      <c r="C49" s="8" t="s">
        <v>128</v>
      </c>
      <c r="D49" s="8" t="str">
        <f t="shared" si="0"/>
        <v>Marketing,   Ashish Kumar Banerjee</v>
      </c>
      <c r="E49" s="8"/>
    </row>
    <row r="50" spans="1:5" x14ac:dyDescent="0.25">
      <c r="A50" s="17"/>
      <c r="B50" s="9" t="s">
        <v>174</v>
      </c>
      <c r="C50" s="8" t="s">
        <v>129</v>
      </c>
      <c r="D50" s="8" t="str">
        <f t="shared" si="0"/>
        <v>Marketing,   Janakiraman Moorthy</v>
      </c>
      <c r="E50" s="8"/>
    </row>
    <row r="51" spans="1:5" x14ac:dyDescent="0.25">
      <c r="A51" s="17"/>
      <c r="B51" s="9" t="s">
        <v>174</v>
      </c>
      <c r="C51" s="8" t="s">
        <v>130</v>
      </c>
      <c r="D51" s="8" t="str">
        <f t="shared" si="0"/>
        <v>Marketing,   Koushiki Choudhury</v>
      </c>
      <c r="E51" s="8"/>
    </row>
    <row r="52" spans="1:5" x14ac:dyDescent="0.25">
      <c r="A52" s="17"/>
      <c r="B52" s="9" t="s">
        <v>174</v>
      </c>
      <c r="C52" s="8" t="s">
        <v>131</v>
      </c>
      <c r="D52" s="8" t="str">
        <f t="shared" si="0"/>
        <v>Marketing,   Krishanu Rakshit</v>
      </c>
      <c r="E52" s="8">
        <v>7</v>
      </c>
    </row>
    <row r="53" spans="1:5" x14ac:dyDescent="0.25">
      <c r="A53" s="17"/>
      <c r="B53" s="9" t="s">
        <v>174</v>
      </c>
      <c r="C53" s="8" t="s">
        <v>132</v>
      </c>
      <c r="D53" s="8" t="str">
        <f t="shared" si="0"/>
        <v>Marketing,   Prafulla Y. Agnihotri</v>
      </c>
      <c r="E53" s="8"/>
    </row>
    <row r="54" spans="1:5" x14ac:dyDescent="0.25">
      <c r="A54" s="17"/>
      <c r="B54" s="9" t="s">
        <v>174</v>
      </c>
      <c r="C54" s="8" t="s">
        <v>133</v>
      </c>
      <c r="D54" s="8" t="str">
        <f t="shared" si="0"/>
        <v>Marketing,   Prashant Mishra</v>
      </c>
      <c r="E54" s="8">
        <v>31</v>
      </c>
    </row>
    <row r="55" spans="1:5" x14ac:dyDescent="0.25">
      <c r="A55" s="17"/>
      <c r="B55" s="9" t="s">
        <v>174</v>
      </c>
      <c r="C55" s="8" t="s">
        <v>134</v>
      </c>
      <c r="D55" s="8" t="str">
        <f t="shared" si="0"/>
        <v>Marketing,   Ramanuj Majumdar</v>
      </c>
      <c r="E55" s="8">
        <v>32</v>
      </c>
    </row>
    <row r="56" spans="1:5" x14ac:dyDescent="0.25">
      <c r="A56" s="17"/>
      <c r="B56" s="9" t="s">
        <v>174</v>
      </c>
      <c r="C56" s="8" t="s">
        <v>135</v>
      </c>
      <c r="D56" s="8" t="str">
        <f t="shared" si="0"/>
        <v>Marketing,   Ramendra Singh</v>
      </c>
      <c r="E56" s="8">
        <v>28</v>
      </c>
    </row>
    <row r="57" spans="1:5" x14ac:dyDescent="0.25">
      <c r="A57" s="17"/>
      <c r="B57" s="9" t="s">
        <v>174</v>
      </c>
      <c r="C57" s="8" t="s">
        <v>136</v>
      </c>
      <c r="D57" s="8" t="str">
        <f t="shared" si="0"/>
        <v>Marketing,   Ritu Mehta</v>
      </c>
      <c r="E57" s="8"/>
    </row>
    <row r="58" spans="1:5" x14ac:dyDescent="0.25">
      <c r="A58" s="17"/>
      <c r="B58" s="9" t="s">
        <v>174</v>
      </c>
      <c r="C58" s="8" t="s">
        <v>137</v>
      </c>
      <c r="D58" s="8" t="str">
        <f t="shared" si="0"/>
        <v>Marketing,   Rohit Varman</v>
      </c>
      <c r="E58" s="8"/>
    </row>
    <row r="59" spans="1:5" x14ac:dyDescent="0.25">
      <c r="A59" s="17"/>
      <c r="B59" s="9" t="s">
        <v>174</v>
      </c>
      <c r="C59" s="8" t="s">
        <v>138</v>
      </c>
      <c r="D59" s="8" t="str">
        <f t="shared" si="0"/>
        <v>Marketing,   Suren Sista</v>
      </c>
      <c r="E59" s="8"/>
    </row>
    <row r="60" spans="1:5" ht="14.45" customHeight="1" x14ac:dyDescent="0.25">
      <c r="A60" s="17" t="s">
        <v>175</v>
      </c>
      <c r="B60" s="9" t="s">
        <v>187</v>
      </c>
      <c r="C60" s="8" t="s">
        <v>139</v>
      </c>
      <c r="D60" s="8" t="str">
        <f t="shared" si="0"/>
        <v>Operations,   Arnab Bisi</v>
      </c>
      <c r="E60" s="8"/>
    </row>
    <row r="61" spans="1:5" x14ac:dyDescent="0.25">
      <c r="A61" s="17"/>
      <c r="B61" s="9" t="s">
        <v>187</v>
      </c>
      <c r="C61" s="8" t="s">
        <v>140</v>
      </c>
      <c r="D61" s="8" t="str">
        <f t="shared" si="0"/>
        <v>Operations,   Ashis K Chatterjee</v>
      </c>
      <c r="E61" s="8">
        <v>26</v>
      </c>
    </row>
    <row r="62" spans="1:5" x14ac:dyDescent="0.25">
      <c r="A62" s="17"/>
      <c r="B62" s="9" t="s">
        <v>187</v>
      </c>
      <c r="C62" s="8" t="s">
        <v>141</v>
      </c>
      <c r="D62" s="8" t="str">
        <f t="shared" si="0"/>
        <v>Operations,   Balram Avittathur</v>
      </c>
      <c r="E62" s="8">
        <v>20</v>
      </c>
    </row>
    <row r="63" spans="1:5" x14ac:dyDescent="0.25">
      <c r="A63" s="17"/>
      <c r="B63" s="9" t="s">
        <v>187</v>
      </c>
      <c r="C63" s="8" t="s">
        <v>142</v>
      </c>
      <c r="D63" s="8" t="str">
        <f t="shared" si="0"/>
        <v>Operations,   Bodhibrata Nag</v>
      </c>
      <c r="E63" s="8"/>
    </row>
    <row r="64" spans="1:5" x14ac:dyDescent="0.25">
      <c r="A64" s="17"/>
      <c r="B64" s="9" t="s">
        <v>187</v>
      </c>
      <c r="C64" s="8" t="s">
        <v>143</v>
      </c>
      <c r="D64" s="8" t="str">
        <f t="shared" si="0"/>
        <v>Operations,   Dileep Satappa More</v>
      </c>
      <c r="E64" s="8">
        <v>6</v>
      </c>
    </row>
    <row r="65" spans="1:5" x14ac:dyDescent="0.25">
      <c r="A65" s="17"/>
      <c r="B65" s="9" t="s">
        <v>187</v>
      </c>
      <c r="C65" s="8" t="s">
        <v>144</v>
      </c>
      <c r="D65" s="8" t="str">
        <f t="shared" si="0"/>
        <v>Operations,   Megha Sharma</v>
      </c>
      <c r="E65" s="8">
        <v>25</v>
      </c>
    </row>
    <row r="66" spans="1:5" x14ac:dyDescent="0.25">
      <c r="A66" s="17"/>
      <c r="B66" s="9" t="s">
        <v>187</v>
      </c>
      <c r="C66" s="8" t="s">
        <v>145</v>
      </c>
      <c r="D66" s="8" t="str">
        <f t="shared" si="0"/>
        <v>Operations,   Partha Priya Datta</v>
      </c>
      <c r="E66" s="8"/>
    </row>
    <row r="67" spans="1:5" x14ac:dyDescent="0.25">
      <c r="A67" s="17"/>
      <c r="B67" s="9" t="s">
        <v>187</v>
      </c>
      <c r="C67" s="8" t="s">
        <v>146</v>
      </c>
      <c r="D67" s="8" t="str">
        <f t="shared" ref="D67:D89" si="1">CONCATENATE(B67,",   ",C67)</f>
        <v>Operations,   Peeyush Mehta</v>
      </c>
      <c r="E67" s="8"/>
    </row>
    <row r="68" spans="1:5" x14ac:dyDescent="0.25">
      <c r="A68" s="17"/>
      <c r="B68" s="9" t="s">
        <v>187</v>
      </c>
      <c r="C68" s="8" t="s">
        <v>147</v>
      </c>
      <c r="D68" s="8" t="str">
        <f t="shared" si="1"/>
        <v>Operations,   Preetam Basu</v>
      </c>
      <c r="E68" s="8"/>
    </row>
    <row r="69" spans="1:5" x14ac:dyDescent="0.25">
      <c r="A69" s="17"/>
      <c r="B69" s="9" t="s">
        <v>187</v>
      </c>
      <c r="C69" s="8" t="s">
        <v>148</v>
      </c>
      <c r="D69" s="8" t="str">
        <f t="shared" si="1"/>
        <v>Operations,   Rahul Mukerjee</v>
      </c>
      <c r="E69" s="8"/>
    </row>
    <row r="70" spans="1:5" x14ac:dyDescent="0.25">
      <c r="A70" s="17"/>
      <c r="B70" s="9" t="s">
        <v>187</v>
      </c>
      <c r="C70" s="8" t="s">
        <v>149</v>
      </c>
      <c r="D70" s="8" t="str">
        <f t="shared" si="1"/>
        <v>Operations,   Sahadeb Sarkar</v>
      </c>
      <c r="E70" s="8"/>
    </row>
    <row r="71" spans="1:5" x14ac:dyDescent="0.25">
      <c r="A71" s="17"/>
      <c r="B71" s="9" t="s">
        <v>187</v>
      </c>
      <c r="C71" s="8" t="s">
        <v>150</v>
      </c>
      <c r="D71" s="8" t="str">
        <f t="shared" si="1"/>
        <v>Operations,   Saibal Chattopadhyay</v>
      </c>
      <c r="E71" s="8"/>
    </row>
    <row r="72" spans="1:5" x14ac:dyDescent="0.25">
      <c r="A72" s="17"/>
      <c r="B72" s="9" t="s">
        <v>187</v>
      </c>
      <c r="C72" s="8" t="s">
        <v>151</v>
      </c>
      <c r="D72" s="8" t="str">
        <f t="shared" si="1"/>
        <v>Operations,   Sanjeet Singh</v>
      </c>
      <c r="E72" s="8"/>
    </row>
    <row r="73" spans="1:5" x14ac:dyDescent="0.25">
      <c r="A73" s="17"/>
      <c r="B73" s="9" t="s">
        <v>187</v>
      </c>
      <c r="C73" s="8" t="s">
        <v>152</v>
      </c>
      <c r="D73" s="8" t="str">
        <f t="shared" si="1"/>
        <v>Operations,   Subrata Mitra</v>
      </c>
      <c r="E73" s="8">
        <v>27</v>
      </c>
    </row>
    <row r="74" spans="1:5" x14ac:dyDescent="0.25">
      <c r="A74" s="17"/>
      <c r="B74" s="9" t="s">
        <v>187</v>
      </c>
      <c r="C74" s="8" t="s">
        <v>153</v>
      </c>
      <c r="D74" s="8" t="str">
        <f t="shared" si="1"/>
        <v>Operations,   Sumanta Basu</v>
      </c>
      <c r="E74" s="8"/>
    </row>
    <row r="75" spans="1:5" ht="14.45" customHeight="1" x14ac:dyDescent="0.25">
      <c r="A75" s="17" t="s">
        <v>176</v>
      </c>
      <c r="B75" s="9" t="s">
        <v>188</v>
      </c>
      <c r="C75" s="8" t="s">
        <v>154</v>
      </c>
      <c r="D75" s="8" t="str">
        <f t="shared" si="1"/>
        <v>Public Policy,   Annapurna Shaw</v>
      </c>
      <c r="E75" s="8"/>
    </row>
    <row r="76" spans="1:5" x14ac:dyDescent="0.25">
      <c r="A76" s="17"/>
      <c r="B76" s="9" t="s">
        <v>188</v>
      </c>
      <c r="C76" s="8" t="s">
        <v>155</v>
      </c>
      <c r="D76" s="8" t="str">
        <f t="shared" si="1"/>
        <v>Public Policy,   Bhaskar Chakrabarti</v>
      </c>
      <c r="E76" s="8"/>
    </row>
    <row r="77" spans="1:5" x14ac:dyDescent="0.25">
      <c r="A77" s="17"/>
      <c r="B77" s="9" t="s">
        <v>188</v>
      </c>
      <c r="C77" s="8" t="s">
        <v>156</v>
      </c>
      <c r="D77" s="8" t="str">
        <f t="shared" si="1"/>
        <v>Public Policy,   Biju Paul Abraham</v>
      </c>
      <c r="E77" s="8"/>
    </row>
    <row r="78" spans="1:5" x14ac:dyDescent="0.25">
      <c r="A78" s="17"/>
      <c r="B78" s="9" t="s">
        <v>188</v>
      </c>
      <c r="C78" s="8" t="s">
        <v>157</v>
      </c>
      <c r="D78" s="8" t="str">
        <f t="shared" si="1"/>
        <v>Public Policy,   Kalyan Sankar Mandal</v>
      </c>
      <c r="E78" s="8">
        <v>30</v>
      </c>
    </row>
    <row r="79" spans="1:5" x14ac:dyDescent="0.25">
      <c r="A79" s="17"/>
      <c r="B79" s="9" t="s">
        <v>188</v>
      </c>
      <c r="C79" s="8" t="s">
        <v>158</v>
      </c>
      <c r="D79" s="8" t="str">
        <f t="shared" si="1"/>
        <v>Public Policy,   Manish Kumar Thakur</v>
      </c>
      <c r="E79" s="8"/>
    </row>
    <row r="80" spans="1:5" x14ac:dyDescent="0.25">
      <c r="A80" s="17"/>
      <c r="B80" s="9" t="s">
        <v>188</v>
      </c>
      <c r="C80" s="8" t="s">
        <v>159</v>
      </c>
      <c r="D80" s="8" t="str">
        <f t="shared" si="1"/>
        <v>Public Policy,   R Rajesh Babu</v>
      </c>
      <c r="E80" s="8">
        <v>38</v>
      </c>
    </row>
    <row r="81" spans="1:5" x14ac:dyDescent="0.25">
      <c r="A81" s="17"/>
      <c r="B81" s="9" t="s">
        <v>188</v>
      </c>
      <c r="C81" s="8" t="s">
        <v>160</v>
      </c>
      <c r="D81" s="8" t="str">
        <f t="shared" si="1"/>
        <v xml:space="preserve">Public Policy,   Rajesh Bhattacharya </v>
      </c>
      <c r="E81" s="8"/>
    </row>
    <row r="82" spans="1:5" x14ac:dyDescent="0.25">
      <c r="A82" s="17"/>
      <c r="B82" s="9" t="s">
        <v>188</v>
      </c>
      <c r="C82" s="8" t="s">
        <v>161</v>
      </c>
      <c r="D82" s="8" t="str">
        <f t="shared" si="1"/>
        <v>Public Policy,   V K Unni</v>
      </c>
      <c r="E82" s="8">
        <v>24</v>
      </c>
    </row>
    <row r="83" spans="1:5" ht="14.45" customHeight="1" x14ac:dyDescent="0.25">
      <c r="A83" s="17" t="s">
        <v>177</v>
      </c>
      <c r="B83" s="9" t="s">
        <v>189</v>
      </c>
      <c r="C83" s="8" t="s">
        <v>162</v>
      </c>
      <c r="D83" s="8" t="str">
        <f t="shared" si="1"/>
        <v>Strategy,   Anirvan Pant</v>
      </c>
      <c r="E83" s="8">
        <v>35</v>
      </c>
    </row>
    <row r="84" spans="1:5" x14ac:dyDescent="0.25">
      <c r="A84" s="17"/>
      <c r="B84" s="9" t="s">
        <v>189</v>
      </c>
      <c r="C84" s="8" t="s">
        <v>163</v>
      </c>
      <c r="D84" s="8" t="str">
        <f t="shared" si="1"/>
        <v>Strategy,   Biswatosh Saha</v>
      </c>
      <c r="E84" s="8"/>
    </row>
    <row r="85" spans="1:5" x14ac:dyDescent="0.25">
      <c r="A85" s="17"/>
      <c r="B85" s="9" t="s">
        <v>189</v>
      </c>
      <c r="C85" s="8" t="s">
        <v>164</v>
      </c>
      <c r="D85" s="8" t="str">
        <f t="shared" si="1"/>
        <v>Strategy,   Ranjan Das</v>
      </c>
      <c r="E85" s="8"/>
    </row>
    <row r="86" spans="1:5" x14ac:dyDescent="0.25">
      <c r="A86" s="17"/>
      <c r="B86" s="9" t="s">
        <v>189</v>
      </c>
      <c r="C86" s="8" t="s">
        <v>165</v>
      </c>
      <c r="D86" s="8" t="str">
        <f t="shared" si="1"/>
        <v>Strategy,   Shekhar Chaudhuri</v>
      </c>
      <c r="E86" s="8"/>
    </row>
    <row r="87" spans="1:5" x14ac:dyDescent="0.25">
      <c r="A87" s="17"/>
      <c r="B87" s="9" t="s">
        <v>189</v>
      </c>
      <c r="C87" s="8" t="s">
        <v>166</v>
      </c>
      <c r="D87" s="8" t="str">
        <f t="shared" si="1"/>
        <v>Strategy,   Sougata Ray</v>
      </c>
      <c r="E87" s="8"/>
    </row>
    <row r="88" spans="1:5" x14ac:dyDescent="0.25">
      <c r="A88" s="17"/>
      <c r="B88" s="9" t="s">
        <v>197</v>
      </c>
      <c r="C88" s="8" t="s">
        <v>167</v>
      </c>
      <c r="D88" s="8" t="str">
        <f t="shared" si="1"/>
        <v>Eco/Strategy,   Sushil Khanna</v>
      </c>
      <c r="E88" s="8">
        <v>36</v>
      </c>
    </row>
    <row r="89" spans="1:5" x14ac:dyDescent="0.25">
      <c r="A89" s="17" t="s">
        <v>200</v>
      </c>
      <c r="B89" s="9" t="s">
        <v>200</v>
      </c>
      <c r="C89" s="12" t="s">
        <v>201</v>
      </c>
      <c r="D89" s="12" t="str">
        <f t="shared" si="1"/>
        <v>Guest,   Kaustav Sen</v>
      </c>
      <c r="E89" s="8">
        <v>4</v>
      </c>
    </row>
    <row r="90" spans="1:5" x14ac:dyDescent="0.25">
      <c r="A90" s="17"/>
      <c r="B90" s="9" t="s">
        <v>200</v>
      </c>
      <c r="C90" s="8" t="s">
        <v>228</v>
      </c>
      <c r="D90" s="12" t="str">
        <f t="shared" ref="D90" si="2">CONCATENATE(B90,",   ",C90)</f>
        <v>Guest,   Anjan Raichaudhuri</v>
      </c>
      <c r="E90" s="8">
        <v>19</v>
      </c>
    </row>
  </sheetData>
  <mergeCells count="11">
    <mergeCell ref="A15:A24"/>
    <mergeCell ref="A89:A90"/>
    <mergeCell ref="A25:A32"/>
    <mergeCell ref="A10:A14"/>
    <mergeCell ref="A2:A9"/>
    <mergeCell ref="A83:A88"/>
    <mergeCell ref="A75:A82"/>
    <mergeCell ref="A60:A74"/>
    <mergeCell ref="A49:A59"/>
    <mergeCell ref="A37:A48"/>
    <mergeCell ref="A33:A36"/>
  </mergeCells>
  <conditionalFormatting sqref="E1:E1048576 G1">
    <cfRule type="top10" dxfId="1" priority="2" rank="1"/>
  </conditionalFormatting>
  <conditionalFormatting sqref="G2">
    <cfRule type="top10" dxfId="0" priority="1" rank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Variables</vt:lpstr>
      <vt:lpstr>OutPut1</vt:lpstr>
      <vt:lpstr>TimeTable</vt:lpstr>
      <vt:lpstr>Subjects</vt:lpstr>
      <vt:lpstr>Professors</vt:lpstr>
      <vt:lpstr>DaysNo</vt:lpstr>
      <vt:lpstr>Number_of_Subjects</vt:lpstr>
      <vt:lpstr>OP_Start</vt:lpstr>
      <vt:lpstr>Origin</vt:lpstr>
      <vt:lpstr>Overlap_Start</vt:lpstr>
      <vt:lpstr>Prof_Start</vt:lpstr>
      <vt:lpstr>ProfNo</vt:lpstr>
      <vt:lpstr>RoomCap_Start</vt:lpstr>
      <vt:lpstr>RoomNo</vt:lpstr>
      <vt:lpstr>SubCap_Start</vt:lpstr>
      <vt:lpstr>SubID_Start</vt:lpstr>
      <vt:lpstr>SubjectNo</vt:lpstr>
      <vt:lpstr>TimesNo</vt:lpstr>
      <vt:lpstr>TimeTable_Origin1</vt:lpstr>
      <vt:lpstr>TimeTable_Origin2</vt:lpstr>
      <vt:lpstr>Total_Profs</vt:lpstr>
      <vt:lpstr>TT_Start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Ejas Mudar</dc:creator>
  <cp:lastModifiedBy>Ejas Mudar</cp:lastModifiedBy>
  <dcterms:created xsi:type="dcterms:W3CDTF">2013-11-06T07:04:29Z</dcterms:created>
  <dcterms:modified xsi:type="dcterms:W3CDTF">2013-11-25T18:04:19Z</dcterms:modified>
</cp:coreProperties>
</file>